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updateLinks="never"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Edoardo Galletti\OneDrive - Alma Mater Studiorum Università di Bologna\Fantagalleague\Gestione_Asta\VBA\FantaGUI_VBA\"/>
    </mc:Choice>
  </mc:AlternateContent>
  <xr:revisionPtr revIDLastSave="0" documentId="13_ncr:20001_{0D9A0E87-42A5-4C4E-AEF9-E05D36E0F96A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I" sheetId="1" r:id="rId1"/>
    <sheet name="Ia" sheetId="5" state="hidden" r:id="rId2"/>
    <sheet name="II" sheetId="6" r:id="rId3"/>
    <sheet name="PLAYERS" sheetId="3" r:id="rId4"/>
    <sheet name="SVINCOLI" sheetId="4" r:id="rId5"/>
  </sheets>
  <functionGroups builtInGroupCount="19"/>
  <externalReferences>
    <externalReference r:id="rId6"/>
  </externalReferences>
  <definedNames>
    <definedName name="_xlnm._FilterDatabase" localSheetId="3" hidden="1">PLAYERS!$A$1:$F$1</definedName>
    <definedName name="_xlnm._FilterDatabase" localSheetId="4" hidden="1">SVINCOLI!$A$1:$G$628</definedName>
    <definedName name="Allenatore0" localSheetId="2">II!$B$4:$B$9,II!$B$12:$B$27,II!$B$30:$B$45,II!$B$48:$B$59</definedName>
    <definedName name="Allenatore1" localSheetId="2">II!$E$4:$E$9,II!$E$12:$E$27,II!$E$30:$E$45,II!$E$48:$E$59</definedName>
    <definedName name="Allenatore2">II!$H$4:$H$9,II!$H$12:$H$27,II!$H$30:$H$45,II!$H$48:$H$59</definedName>
    <definedName name="Allenatore3">II!$K$4:$K$9,II!$K$12:$K$27,II!$K$30:$K$45,II!$K$48:$K$59</definedName>
    <definedName name="Allenatore4">II!$N$4:$N$9,II!$N$12:$N$27,II!$N$30:$N$45,II!$N$48:$N$59</definedName>
    <definedName name="Allenatore5">II!$Q$4:$Q$9,II!$Q$12:$Q$27,II!$Q$30:$Q$45,II!$Q$48:$Q$59</definedName>
    <definedName name="Allenatore6">II!$T$4:$T$9,II!$T$12:$T$27,II!$T$30:$T$45,II!$T$48:$T$59</definedName>
    <definedName name="Allenatore7">II!$W$4:$W$9,II!$W$12:$W$27,II!$W$30:$W$45,II!$W$48:$W$59</definedName>
    <definedName name="Allenatore8">II!$Z$4:$Z$9,II!$Z$12:$Z$27,II!$Z$30:$Z$45,II!$Z$48:$Z$59</definedName>
    <definedName name="Allenatore9">II!$AC$4:$AC$9,II!$AC$12:$AC$27,II!$AC$30:$AC$45,II!$AC$48:$AC$59</definedName>
    <definedName name="FANTALLENATORI" localSheetId="2">II!$AF$3:$AF$12</definedName>
    <definedName name="PLAYERS">PLAYERS!$B$2:$B$523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4" i="6" l="1"/>
  <c r="B15" i="5"/>
  <c r="B13" i="6" l="1"/>
  <c r="G60" i="6" l="1"/>
  <c r="J60" i="6"/>
  <c r="M60" i="6"/>
  <c r="P60" i="6"/>
  <c r="S60" i="6"/>
  <c r="V60" i="6"/>
  <c r="Y60" i="6"/>
  <c r="AB60" i="6"/>
  <c r="AE60" i="6"/>
  <c r="G46" i="6"/>
  <c r="J46" i="6"/>
  <c r="M46" i="6"/>
  <c r="P46" i="6"/>
  <c r="S46" i="6"/>
  <c r="V46" i="6"/>
  <c r="Y46" i="6"/>
  <c r="AB46" i="6"/>
  <c r="D28" i="6"/>
  <c r="G28" i="6"/>
  <c r="J28" i="6"/>
  <c r="M28" i="6"/>
  <c r="P28" i="6"/>
  <c r="S28" i="6"/>
  <c r="V28" i="6"/>
  <c r="Y28" i="6"/>
  <c r="AB28" i="6"/>
  <c r="M10" i="6"/>
  <c r="P10" i="6"/>
  <c r="S10" i="6"/>
  <c r="V10" i="6"/>
  <c r="Y10" i="6"/>
  <c r="AB10" i="6"/>
  <c r="G10" i="6"/>
  <c r="J10" i="6"/>
  <c r="W29" i="5" l="1"/>
  <c r="W28" i="5"/>
  <c r="H48" i="6" l="1"/>
  <c r="G62" i="6" l="1"/>
  <c r="G63" i="6" s="1"/>
  <c r="J62" i="6"/>
  <c r="J63" i="6" s="1"/>
  <c r="M62" i="6"/>
  <c r="M63" i="6" s="1"/>
  <c r="P62" i="6"/>
  <c r="P63" i="6" s="1"/>
  <c r="S62" i="6"/>
  <c r="S63" i="6" s="1"/>
  <c r="V62" i="6"/>
  <c r="V63" i="6" s="1"/>
  <c r="Y62" i="6"/>
  <c r="Y63" i="6" s="1"/>
  <c r="AB62" i="6"/>
  <c r="AB63" i="6" s="1"/>
  <c r="AE62" i="6"/>
  <c r="AE63" i="6" s="1"/>
  <c r="AE46" i="6"/>
  <c r="AE28" i="6"/>
  <c r="AE10" i="6"/>
  <c r="D60" i="6"/>
  <c r="D46" i="6"/>
  <c r="D10" i="6"/>
  <c r="G2" i="6"/>
  <c r="J2" i="6"/>
  <c r="M2" i="6"/>
  <c r="P2" i="6"/>
  <c r="S2" i="6"/>
  <c r="V2" i="6"/>
  <c r="Y2" i="6"/>
  <c r="AB2" i="6"/>
  <c r="AE2" i="6"/>
  <c r="D62" i="6"/>
  <c r="AD53" i="6"/>
  <c r="AC53" i="6"/>
  <c r="AA53" i="6"/>
  <c r="Z53" i="6"/>
  <c r="X53" i="6"/>
  <c r="W53" i="6"/>
  <c r="U53" i="6"/>
  <c r="T53" i="6"/>
  <c r="R53" i="6"/>
  <c r="Q53" i="6"/>
  <c r="O53" i="6"/>
  <c r="N53" i="6"/>
  <c r="L53" i="6"/>
  <c r="K53" i="6"/>
  <c r="I53" i="6"/>
  <c r="H53" i="6"/>
  <c r="F53" i="6"/>
  <c r="E53" i="6"/>
  <c r="C53" i="6"/>
  <c r="B53" i="6"/>
  <c r="AD52" i="6"/>
  <c r="AC52" i="6"/>
  <c r="AA52" i="6"/>
  <c r="Z52" i="6"/>
  <c r="X52" i="6"/>
  <c r="W52" i="6"/>
  <c r="U52" i="6"/>
  <c r="T52" i="6"/>
  <c r="R52" i="6"/>
  <c r="Q52" i="6"/>
  <c r="O52" i="6"/>
  <c r="N52" i="6"/>
  <c r="L52" i="6"/>
  <c r="K52" i="6"/>
  <c r="I52" i="6"/>
  <c r="H52" i="6"/>
  <c r="F52" i="6"/>
  <c r="E52" i="6"/>
  <c r="C52" i="6"/>
  <c r="B52" i="6"/>
  <c r="AD51" i="6"/>
  <c r="AC51" i="6"/>
  <c r="AA51" i="6"/>
  <c r="Z51" i="6"/>
  <c r="X51" i="6"/>
  <c r="W51" i="6"/>
  <c r="U51" i="6"/>
  <c r="T51" i="6"/>
  <c r="R51" i="6"/>
  <c r="Q51" i="6"/>
  <c r="O51" i="6"/>
  <c r="N51" i="6"/>
  <c r="L51" i="6"/>
  <c r="K51" i="6"/>
  <c r="I51" i="6"/>
  <c r="H51" i="6"/>
  <c r="F51" i="6"/>
  <c r="E51" i="6"/>
  <c r="C51" i="6"/>
  <c r="B51" i="6"/>
  <c r="AD50" i="6"/>
  <c r="AC50" i="6"/>
  <c r="AA50" i="6"/>
  <c r="Z50" i="6"/>
  <c r="X50" i="6"/>
  <c r="W50" i="6"/>
  <c r="U50" i="6"/>
  <c r="T50" i="6"/>
  <c r="R50" i="6"/>
  <c r="Q50" i="6"/>
  <c r="O50" i="6"/>
  <c r="N50" i="6"/>
  <c r="L50" i="6"/>
  <c r="K50" i="6"/>
  <c r="I50" i="6"/>
  <c r="H50" i="6"/>
  <c r="F50" i="6"/>
  <c r="E50" i="6"/>
  <c r="C50" i="6"/>
  <c r="B50" i="6"/>
  <c r="AD49" i="6"/>
  <c r="AC49" i="6"/>
  <c r="AA49" i="6"/>
  <c r="Z49" i="6"/>
  <c r="X49" i="6"/>
  <c r="W49" i="6"/>
  <c r="U49" i="6"/>
  <c r="T49" i="6"/>
  <c r="R49" i="6"/>
  <c r="Q49" i="6"/>
  <c r="O49" i="6"/>
  <c r="N49" i="6"/>
  <c r="L49" i="6"/>
  <c r="K49" i="6"/>
  <c r="I49" i="6"/>
  <c r="H49" i="6"/>
  <c r="F49" i="6"/>
  <c r="E49" i="6"/>
  <c r="C49" i="6"/>
  <c r="B49" i="6"/>
  <c r="AD48" i="6"/>
  <c r="AC48" i="6"/>
  <c r="AA48" i="6"/>
  <c r="Z48" i="6"/>
  <c r="X48" i="6"/>
  <c r="W48" i="6"/>
  <c r="U48" i="6"/>
  <c r="T48" i="6"/>
  <c r="R48" i="6"/>
  <c r="Q48" i="6"/>
  <c r="O48" i="6"/>
  <c r="N48" i="6"/>
  <c r="L48" i="6"/>
  <c r="K48" i="6"/>
  <c r="I48" i="6"/>
  <c r="F48" i="6"/>
  <c r="E48" i="6"/>
  <c r="C48" i="6"/>
  <c r="B48" i="6"/>
  <c r="AD37" i="6"/>
  <c r="AC37" i="6"/>
  <c r="AA37" i="6"/>
  <c r="Z37" i="6"/>
  <c r="X37" i="6"/>
  <c r="W37" i="6"/>
  <c r="U37" i="6"/>
  <c r="T37" i="6"/>
  <c r="R37" i="6"/>
  <c r="Q37" i="6"/>
  <c r="O37" i="6"/>
  <c r="N37" i="6"/>
  <c r="L37" i="6"/>
  <c r="K37" i="6"/>
  <c r="I37" i="6"/>
  <c r="H37" i="6"/>
  <c r="F37" i="6"/>
  <c r="E37" i="6"/>
  <c r="C37" i="6"/>
  <c r="B37" i="6"/>
  <c r="AD36" i="6"/>
  <c r="AC36" i="6"/>
  <c r="AA36" i="6"/>
  <c r="Z36" i="6"/>
  <c r="X36" i="6"/>
  <c r="W36" i="6"/>
  <c r="U36" i="6"/>
  <c r="T36" i="6"/>
  <c r="R36" i="6"/>
  <c r="Q36" i="6"/>
  <c r="O36" i="6"/>
  <c r="N36" i="6"/>
  <c r="L36" i="6"/>
  <c r="K36" i="6"/>
  <c r="I36" i="6"/>
  <c r="H36" i="6"/>
  <c r="F36" i="6"/>
  <c r="E36" i="6"/>
  <c r="C36" i="6"/>
  <c r="B36" i="6"/>
  <c r="AD35" i="6"/>
  <c r="AC35" i="6"/>
  <c r="AA35" i="6"/>
  <c r="Z35" i="6"/>
  <c r="X35" i="6"/>
  <c r="W35" i="6"/>
  <c r="U35" i="6"/>
  <c r="T35" i="6"/>
  <c r="R35" i="6"/>
  <c r="Q35" i="6"/>
  <c r="O35" i="6"/>
  <c r="N35" i="6"/>
  <c r="L35" i="6"/>
  <c r="K35" i="6"/>
  <c r="I35" i="6"/>
  <c r="H35" i="6"/>
  <c r="F35" i="6"/>
  <c r="E35" i="6"/>
  <c r="C35" i="6"/>
  <c r="B35" i="6"/>
  <c r="AD34" i="6"/>
  <c r="AC34" i="6"/>
  <c r="AA34" i="6"/>
  <c r="Z34" i="6"/>
  <c r="X34" i="6"/>
  <c r="W34" i="6"/>
  <c r="U34" i="6"/>
  <c r="T34" i="6"/>
  <c r="R34" i="6"/>
  <c r="Q34" i="6"/>
  <c r="O34" i="6"/>
  <c r="N34" i="6"/>
  <c r="L34" i="6"/>
  <c r="K34" i="6"/>
  <c r="I34" i="6"/>
  <c r="H34" i="6"/>
  <c r="F34" i="6"/>
  <c r="E34" i="6"/>
  <c r="C34" i="6"/>
  <c r="B34" i="6"/>
  <c r="AD33" i="6"/>
  <c r="AC33" i="6"/>
  <c r="AA33" i="6"/>
  <c r="Z33" i="6"/>
  <c r="X33" i="6"/>
  <c r="W33" i="6"/>
  <c r="U33" i="6"/>
  <c r="T33" i="6"/>
  <c r="R33" i="6"/>
  <c r="Q33" i="6"/>
  <c r="O33" i="6"/>
  <c r="N33" i="6"/>
  <c r="L33" i="6"/>
  <c r="K33" i="6"/>
  <c r="I33" i="6"/>
  <c r="H33" i="6"/>
  <c r="F33" i="6"/>
  <c r="E33" i="6"/>
  <c r="C33" i="6"/>
  <c r="B33" i="6"/>
  <c r="AD32" i="6"/>
  <c r="AC32" i="6"/>
  <c r="AA32" i="6"/>
  <c r="Z32" i="6"/>
  <c r="X32" i="6"/>
  <c r="W32" i="6"/>
  <c r="U32" i="6"/>
  <c r="T32" i="6"/>
  <c r="R32" i="6"/>
  <c r="Q32" i="6"/>
  <c r="O32" i="6"/>
  <c r="N32" i="6"/>
  <c r="L32" i="6"/>
  <c r="K32" i="6"/>
  <c r="I32" i="6"/>
  <c r="H32" i="6"/>
  <c r="F32" i="6"/>
  <c r="E32" i="6"/>
  <c r="C32" i="6"/>
  <c r="B32" i="6"/>
  <c r="AD31" i="6"/>
  <c r="AC31" i="6"/>
  <c r="AA31" i="6"/>
  <c r="Z31" i="6"/>
  <c r="X31" i="6"/>
  <c r="W31" i="6"/>
  <c r="U31" i="6"/>
  <c r="T31" i="6"/>
  <c r="R31" i="6"/>
  <c r="Q31" i="6"/>
  <c r="O31" i="6"/>
  <c r="N31" i="6"/>
  <c r="L31" i="6"/>
  <c r="K31" i="6"/>
  <c r="I31" i="6"/>
  <c r="H31" i="6"/>
  <c r="F31" i="6"/>
  <c r="E31" i="6"/>
  <c r="C31" i="6"/>
  <c r="B31" i="6"/>
  <c r="AD30" i="6"/>
  <c r="AC30" i="6"/>
  <c r="AA30" i="6"/>
  <c r="Z30" i="6"/>
  <c r="X30" i="6"/>
  <c r="W30" i="6"/>
  <c r="U30" i="6"/>
  <c r="T30" i="6"/>
  <c r="R30" i="6"/>
  <c r="Q30" i="6"/>
  <c r="O30" i="6"/>
  <c r="N30" i="6"/>
  <c r="L30" i="6"/>
  <c r="K30" i="6"/>
  <c r="I30" i="6"/>
  <c r="H30" i="6"/>
  <c r="F30" i="6"/>
  <c r="E30" i="6"/>
  <c r="C30" i="6"/>
  <c r="B30" i="6"/>
  <c r="AD19" i="6"/>
  <c r="AC19" i="6"/>
  <c r="AA19" i="6"/>
  <c r="Z19" i="6"/>
  <c r="X19" i="6"/>
  <c r="W19" i="6"/>
  <c r="U19" i="6"/>
  <c r="T19" i="6"/>
  <c r="R19" i="6"/>
  <c r="O19" i="6"/>
  <c r="N19" i="6"/>
  <c r="L19" i="6"/>
  <c r="K19" i="6"/>
  <c r="I19" i="6"/>
  <c r="H19" i="6"/>
  <c r="F19" i="6"/>
  <c r="E19" i="6"/>
  <c r="C19" i="6"/>
  <c r="B19" i="6"/>
  <c r="AD18" i="6"/>
  <c r="AC18" i="6"/>
  <c r="AA18" i="6"/>
  <c r="Z18" i="6"/>
  <c r="X18" i="6"/>
  <c r="W18" i="6"/>
  <c r="U18" i="6"/>
  <c r="T18" i="6"/>
  <c r="R18" i="6"/>
  <c r="Q18" i="6"/>
  <c r="O18" i="6"/>
  <c r="N18" i="6"/>
  <c r="L18" i="6"/>
  <c r="K18" i="6"/>
  <c r="I18" i="6"/>
  <c r="H18" i="6"/>
  <c r="F18" i="6"/>
  <c r="E18" i="6"/>
  <c r="C18" i="6"/>
  <c r="B18" i="6"/>
  <c r="AD17" i="6"/>
  <c r="AC17" i="6"/>
  <c r="AA17" i="6"/>
  <c r="Z17" i="6"/>
  <c r="X17" i="6"/>
  <c r="W17" i="6"/>
  <c r="U17" i="6"/>
  <c r="T17" i="6"/>
  <c r="R17" i="6"/>
  <c r="Q17" i="6"/>
  <c r="O17" i="6"/>
  <c r="N17" i="6"/>
  <c r="L17" i="6"/>
  <c r="K17" i="6"/>
  <c r="I17" i="6"/>
  <c r="H17" i="6"/>
  <c r="F17" i="6"/>
  <c r="E17" i="6"/>
  <c r="C17" i="6"/>
  <c r="B17" i="6"/>
  <c r="AD16" i="6"/>
  <c r="AC16" i="6"/>
  <c r="AA16" i="6"/>
  <c r="Z16" i="6"/>
  <c r="X16" i="6"/>
  <c r="W16" i="6"/>
  <c r="U16" i="6"/>
  <c r="T16" i="6"/>
  <c r="R16" i="6"/>
  <c r="Q16" i="6"/>
  <c r="O16" i="6"/>
  <c r="N16" i="6"/>
  <c r="L16" i="6"/>
  <c r="K16" i="6"/>
  <c r="I16" i="6"/>
  <c r="H16" i="6"/>
  <c r="F16" i="6"/>
  <c r="E16" i="6"/>
  <c r="C16" i="6"/>
  <c r="B16" i="6"/>
  <c r="AD15" i="6"/>
  <c r="AC15" i="6"/>
  <c r="AA15" i="6"/>
  <c r="Z15" i="6"/>
  <c r="X15" i="6"/>
  <c r="W15" i="6"/>
  <c r="U15" i="6"/>
  <c r="T15" i="6"/>
  <c r="R15" i="6"/>
  <c r="Q15" i="6"/>
  <c r="O15" i="6"/>
  <c r="N15" i="6"/>
  <c r="L15" i="6"/>
  <c r="K15" i="6"/>
  <c r="I15" i="6"/>
  <c r="H15" i="6"/>
  <c r="F15" i="6"/>
  <c r="E15" i="6"/>
  <c r="C15" i="6"/>
  <c r="B15" i="6"/>
  <c r="AD14" i="6"/>
  <c r="AC14" i="6"/>
  <c r="AA14" i="6"/>
  <c r="Z14" i="6"/>
  <c r="X14" i="6"/>
  <c r="W14" i="6"/>
  <c r="U14" i="6"/>
  <c r="T14" i="6"/>
  <c r="R14" i="6"/>
  <c r="Q14" i="6"/>
  <c r="O14" i="6"/>
  <c r="N14" i="6"/>
  <c r="L14" i="6"/>
  <c r="K14" i="6"/>
  <c r="I14" i="6"/>
  <c r="H14" i="6"/>
  <c r="F14" i="6"/>
  <c r="E14" i="6"/>
  <c r="C14" i="6"/>
  <c r="B14" i="6"/>
  <c r="AD13" i="6"/>
  <c r="AC13" i="6"/>
  <c r="AA13" i="6"/>
  <c r="Z13" i="6"/>
  <c r="X13" i="6"/>
  <c r="W13" i="6"/>
  <c r="U13" i="6"/>
  <c r="T13" i="6"/>
  <c r="R13" i="6"/>
  <c r="Q13" i="6"/>
  <c r="O13" i="6"/>
  <c r="N13" i="6"/>
  <c r="L13" i="6"/>
  <c r="K13" i="6"/>
  <c r="I13" i="6"/>
  <c r="H13" i="6"/>
  <c r="F13" i="6"/>
  <c r="E13" i="6"/>
  <c r="C13" i="6"/>
  <c r="AF11" i="6"/>
  <c r="AD12" i="6"/>
  <c r="AC12" i="6"/>
  <c r="AA12" i="6"/>
  <c r="Z12" i="6"/>
  <c r="X12" i="6"/>
  <c r="W12" i="6"/>
  <c r="U12" i="6"/>
  <c r="T12" i="6"/>
  <c r="R12" i="6"/>
  <c r="Q12" i="6"/>
  <c r="O12" i="6"/>
  <c r="N12" i="6"/>
  <c r="L12" i="6"/>
  <c r="K12" i="6"/>
  <c r="I12" i="6"/>
  <c r="H12" i="6"/>
  <c r="F12" i="6"/>
  <c r="E12" i="6"/>
  <c r="C12" i="6"/>
  <c r="B12" i="6"/>
  <c r="AF10" i="6"/>
  <c r="AF9" i="6"/>
  <c r="AF8" i="6"/>
  <c r="AF7" i="6"/>
  <c r="AF6" i="6"/>
  <c r="AF5" i="6"/>
  <c r="AD6" i="6"/>
  <c r="AA6" i="6"/>
  <c r="Z6" i="6"/>
  <c r="X6" i="6"/>
  <c r="W6" i="6"/>
  <c r="U6" i="6"/>
  <c r="T6" i="6"/>
  <c r="R6" i="6"/>
  <c r="O6" i="6"/>
  <c r="N6" i="6"/>
  <c r="L6" i="6"/>
  <c r="K6" i="6"/>
  <c r="I6" i="6"/>
  <c r="H6" i="6"/>
  <c r="F6" i="6"/>
  <c r="E6" i="6"/>
  <c r="C6" i="6"/>
  <c r="B6" i="6"/>
  <c r="AF12" i="6"/>
  <c r="AD5" i="6"/>
  <c r="AC5" i="6"/>
  <c r="AA5" i="6"/>
  <c r="Z5" i="6"/>
  <c r="X5" i="6"/>
  <c r="W5" i="6"/>
  <c r="U5" i="6"/>
  <c r="T5" i="6"/>
  <c r="R5" i="6"/>
  <c r="Q5" i="6"/>
  <c r="O5" i="6"/>
  <c r="N5" i="6"/>
  <c r="L5" i="6"/>
  <c r="K5" i="6"/>
  <c r="I5" i="6"/>
  <c r="H5" i="6"/>
  <c r="F5" i="6"/>
  <c r="E5" i="6"/>
  <c r="C5" i="6"/>
  <c r="B5" i="6"/>
  <c r="AF4" i="6"/>
  <c r="AD4" i="6"/>
  <c r="AC4" i="6"/>
  <c r="AA4" i="6"/>
  <c r="X4" i="6"/>
  <c r="W4" i="6"/>
  <c r="U4" i="6"/>
  <c r="T4" i="6"/>
  <c r="R4" i="6"/>
  <c r="Q4" i="6"/>
  <c r="O4" i="6"/>
  <c r="N4" i="6"/>
  <c r="L4" i="6"/>
  <c r="K4" i="6"/>
  <c r="I4" i="6"/>
  <c r="H4" i="6"/>
  <c r="F4" i="6"/>
  <c r="E4" i="6"/>
  <c r="C4" i="6"/>
  <c r="B4" i="6"/>
  <c r="AF3" i="6"/>
  <c r="AD34" i="5"/>
  <c r="AD35" i="5"/>
  <c r="AD36" i="5"/>
  <c r="AD37" i="5"/>
  <c r="AD38" i="5"/>
  <c r="AD39" i="5"/>
  <c r="AC35" i="5"/>
  <c r="AC36" i="5"/>
  <c r="AC37" i="5"/>
  <c r="AC38" i="5"/>
  <c r="AC39" i="5"/>
  <c r="AC34" i="5"/>
  <c r="AD22" i="5"/>
  <c r="AD23" i="5"/>
  <c r="AD24" i="5"/>
  <c r="AD25" i="5"/>
  <c r="AD26" i="5"/>
  <c r="AD27" i="5"/>
  <c r="AD28" i="5"/>
  <c r="AD29" i="5"/>
  <c r="AC23" i="5"/>
  <c r="AC24" i="5"/>
  <c r="AC25" i="5"/>
  <c r="AC26" i="5"/>
  <c r="AC27" i="5"/>
  <c r="AC28" i="5"/>
  <c r="AC29" i="5"/>
  <c r="AC22" i="5"/>
  <c r="AA34" i="5"/>
  <c r="AA35" i="5"/>
  <c r="AA36" i="5"/>
  <c r="AA37" i="5"/>
  <c r="AA38" i="5"/>
  <c r="AA39" i="5"/>
  <c r="Z35" i="5"/>
  <c r="Z36" i="5"/>
  <c r="Z37" i="5"/>
  <c r="Z38" i="5"/>
  <c r="Z39" i="5"/>
  <c r="Z34" i="5"/>
  <c r="AA22" i="5"/>
  <c r="AA23" i="5"/>
  <c r="AA24" i="5"/>
  <c r="AA25" i="5"/>
  <c r="AA26" i="5"/>
  <c r="AA27" i="5"/>
  <c r="AA28" i="5"/>
  <c r="AA29" i="5"/>
  <c r="Z23" i="5"/>
  <c r="Z24" i="5"/>
  <c r="Z25" i="5"/>
  <c r="Z26" i="5"/>
  <c r="Z27" i="5"/>
  <c r="Z28" i="5"/>
  <c r="Z29" i="5"/>
  <c r="Z22" i="5"/>
  <c r="X34" i="5"/>
  <c r="X35" i="5"/>
  <c r="X36" i="5"/>
  <c r="X37" i="5"/>
  <c r="X38" i="5"/>
  <c r="X39" i="5"/>
  <c r="W35" i="5"/>
  <c r="W36" i="5"/>
  <c r="W37" i="5"/>
  <c r="W38" i="5"/>
  <c r="W39" i="5"/>
  <c r="W34" i="5"/>
  <c r="X22" i="5"/>
  <c r="X23" i="5"/>
  <c r="X24" i="5"/>
  <c r="X25" i="5"/>
  <c r="X26" i="5"/>
  <c r="X27" i="5"/>
  <c r="X28" i="5"/>
  <c r="X29" i="5"/>
  <c r="W23" i="5"/>
  <c r="W24" i="5"/>
  <c r="W25" i="5"/>
  <c r="W26" i="5"/>
  <c r="W27" i="5"/>
  <c r="W22" i="5"/>
  <c r="U35" i="5"/>
  <c r="U36" i="5"/>
  <c r="U37" i="5"/>
  <c r="U38" i="5"/>
  <c r="U39" i="5"/>
  <c r="U34" i="5"/>
  <c r="U23" i="5"/>
  <c r="U24" i="5"/>
  <c r="U25" i="5"/>
  <c r="U26" i="5"/>
  <c r="U27" i="5"/>
  <c r="U28" i="5"/>
  <c r="U29" i="5"/>
  <c r="U22" i="5"/>
  <c r="R34" i="5"/>
  <c r="R35" i="5"/>
  <c r="R36" i="5"/>
  <c r="R37" i="5"/>
  <c r="R38" i="5"/>
  <c r="R39" i="5"/>
  <c r="Q35" i="5"/>
  <c r="Q36" i="5"/>
  <c r="Q37" i="5"/>
  <c r="Q38" i="5"/>
  <c r="Q39" i="5"/>
  <c r="Q34" i="5"/>
  <c r="R22" i="5"/>
  <c r="R23" i="5"/>
  <c r="R24" i="5"/>
  <c r="R25" i="5"/>
  <c r="R26" i="5"/>
  <c r="R27" i="5"/>
  <c r="R28" i="5"/>
  <c r="R29" i="5"/>
  <c r="Q23" i="5"/>
  <c r="Q24" i="5"/>
  <c r="Q25" i="5"/>
  <c r="Q26" i="5"/>
  <c r="Q27" i="5"/>
  <c r="Q28" i="5"/>
  <c r="Q29" i="5"/>
  <c r="Q22" i="5"/>
  <c r="O34" i="5"/>
  <c r="O35" i="5"/>
  <c r="O36" i="5"/>
  <c r="O37" i="5"/>
  <c r="O38" i="5"/>
  <c r="O39" i="5"/>
  <c r="N39" i="5"/>
  <c r="N35" i="5"/>
  <c r="N36" i="5"/>
  <c r="N37" i="5"/>
  <c r="N38" i="5"/>
  <c r="N34" i="5"/>
  <c r="O22" i="5"/>
  <c r="O23" i="5"/>
  <c r="O24" i="5"/>
  <c r="O25" i="5"/>
  <c r="O26" i="5"/>
  <c r="O27" i="5"/>
  <c r="O28" i="5"/>
  <c r="O29" i="5"/>
  <c r="N23" i="5"/>
  <c r="N24" i="5"/>
  <c r="N25" i="5"/>
  <c r="N26" i="5"/>
  <c r="N27" i="5"/>
  <c r="N28" i="5"/>
  <c r="N29" i="5"/>
  <c r="N22" i="5"/>
  <c r="L34" i="5"/>
  <c r="L35" i="5"/>
  <c r="L36" i="5"/>
  <c r="L37" i="5"/>
  <c r="L38" i="5"/>
  <c r="L39" i="5"/>
  <c r="K35" i="5"/>
  <c r="K36" i="5"/>
  <c r="K37" i="5"/>
  <c r="K38" i="5"/>
  <c r="K39" i="5"/>
  <c r="K34" i="5"/>
  <c r="L22" i="5"/>
  <c r="L23" i="5"/>
  <c r="L24" i="5"/>
  <c r="L25" i="5"/>
  <c r="L26" i="5"/>
  <c r="L27" i="5"/>
  <c r="L28" i="5"/>
  <c r="L29" i="5"/>
  <c r="K23" i="5"/>
  <c r="K24" i="5"/>
  <c r="K25" i="5"/>
  <c r="K26" i="5"/>
  <c r="K27" i="5"/>
  <c r="K28" i="5"/>
  <c r="K29" i="5"/>
  <c r="K22" i="5"/>
  <c r="H35" i="5"/>
  <c r="I35" i="5"/>
  <c r="H36" i="5"/>
  <c r="I36" i="5"/>
  <c r="H37" i="5"/>
  <c r="I37" i="5"/>
  <c r="H38" i="5"/>
  <c r="I38" i="5"/>
  <c r="H39" i="5"/>
  <c r="I39" i="5"/>
  <c r="I34" i="5"/>
  <c r="H34" i="5"/>
  <c r="E35" i="5"/>
  <c r="F35" i="5"/>
  <c r="E36" i="5"/>
  <c r="F36" i="5"/>
  <c r="E37" i="5"/>
  <c r="F37" i="5"/>
  <c r="E38" i="5"/>
  <c r="F38" i="5"/>
  <c r="E39" i="5"/>
  <c r="F39" i="5"/>
  <c r="F34" i="5"/>
  <c r="E34" i="5"/>
  <c r="H23" i="5"/>
  <c r="H24" i="5"/>
  <c r="H25" i="5"/>
  <c r="H26" i="5"/>
  <c r="H27" i="5"/>
  <c r="H28" i="5"/>
  <c r="H29" i="5"/>
  <c r="H22" i="5"/>
  <c r="I23" i="5"/>
  <c r="I24" i="5"/>
  <c r="I25" i="5"/>
  <c r="I26" i="5"/>
  <c r="I27" i="5"/>
  <c r="I28" i="5"/>
  <c r="I29" i="5"/>
  <c r="I22" i="5"/>
  <c r="AE44" i="5"/>
  <c r="AB44" i="5"/>
  <c r="Y44" i="5"/>
  <c r="V44" i="5"/>
  <c r="S44" i="5"/>
  <c r="P44" i="5"/>
  <c r="M44" i="5"/>
  <c r="J44" i="5"/>
  <c r="G44" i="5"/>
  <c r="D44" i="5"/>
  <c r="AE42" i="5"/>
  <c r="AB42" i="5"/>
  <c r="Y42" i="5"/>
  <c r="V42" i="5"/>
  <c r="S42" i="5"/>
  <c r="P42" i="5"/>
  <c r="M42" i="5"/>
  <c r="J42" i="5"/>
  <c r="G42" i="5"/>
  <c r="D42" i="5"/>
  <c r="T39" i="5"/>
  <c r="C39" i="5"/>
  <c r="B39" i="5"/>
  <c r="T38" i="5"/>
  <c r="C38" i="5"/>
  <c r="B38" i="5"/>
  <c r="T37" i="5"/>
  <c r="C37" i="5"/>
  <c r="B37" i="5"/>
  <c r="T36" i="5"/>
  <c r="C36" i="5"/>
  <c r="B36" i="5"/>
  <c r="T35" i="5"/>
  <c r="C35" i="5"/>
  <c r="B35" i="5"/>
  <c r="T34" i="5"/>
  <c r="C34" i="5"/>
  <c r="B34" i="5"/>
  <c r="AE32" i="5"/>
  <c r="AB32" i="5"/>
  <c r="Y32" i="5"/>
  <c r="V32" i="5"/>
  <c r="S32" i="5"/>
  <c r="P32" i="5"/>
  <c r="M32" i="5"/>
  <c r="J32" i="5"/>
  <c r="G32" i="5"/>
  <c r="D32" i="5"/>
  <c r="T29" i="5"/>
  <c r="F29" i="5"/>
  <c r="E29" i="5"/>
  <c r="C29" i="5"/>
  <c r="B29" i="5"/>
  <c r="T28" i="5"/>
  <c r="F28" i="5"/>
  <c r="E28" i="5"/>
  <c r="C28" i="5"/>
  <c r="B28" i="5"/>
  <c r="T27" i="5"/>
  <c r="F27" i="5"/>
  <c r="E27" i="5"/>
  <c r="C27" i="5"/>
  <c r="B27" i="5"/>
  <c r="T26" i="5"/>
  <c r="F26" i="5"/>
  <c r="E26" i="5"/>
  <c r="C26" i="5"/>
  <c r="B26" i="5"/>
  <c r="T25" i="5"/>
  <c r="F25" i="5"/>
  <c r="E25" i="5"/>
  <c r="C25" i="5"/>
  <c r="B25" i="5"/>
  <c r="T24" i="5"/>
  <c r="F24" i="5"/>
  <c r="E24" i="5"/>
  <c r="C24" i="5"/>
  <c r="B24" i="5"/>
  <c r="T23" i="5"/>
  <c r="F23" i="5"/>
  <c r="E23" i="5"/>
  <c r="C23" i="5"/>
  <c r="B23" i="5"/>
  <c r="T22" i="5"/>
  <c r="F22" i="5"/>
  <c r="E22" i="5"/>
  <c r="C22" i="5"/>
  <c r="B22" i="5"/>
  <c r="AE20" i="5"/>
  <c r="AB20" i="5"/>
  <c r="Y20" i="5"/>
  <c r="V20" i="5"/>
  <c r="S20" i="5"/>
  <c r="P20" i="5"/>
  <c r="M20" i="5"/>
  <c r="J20" i="5"/>
  <c r="G20" i="5"/>
  <c r="D20" i="5"/>
  <c r="AD17" i="5"/>
  <c r="AC17" i="5"/>
  <c r="AA17" i="5"/>
  <c r="Z17" i="5"/>
  <c r="X17" i="5"/>
  <c r="W17" i="5"/>
  <c r="U17" i="5"/>
  <c r="T17" i="5"/>
  <c r="R17" i="5"/>
  <c r="Q17" i="5"/>
  <c r="O17" i="5"/>
  <c r="N17" i="5"/>
  <c r="L17" i="5"/>
  <c r="K17" i="5"/>
  <c r="I17" i="5"/>
  <c r="H17" i="5"/>
  <c r="F17" i="5"/>
  <c r="E17" i="5"/>
  <c r="C17" i="5"/>
  <c r="B17" i="5"/>
  <c r="AD16" i="5"/>
  <c r="AC16" i="5"/>
  <c r="AA16" i="5"/>
  <c r="Z16" i="5"/>
  <c r="X16" i="5"/>
  <c r="W16" i="5"/>
  <c r="U16" i="5"/>
  <c r="T16" i="5"/>
  <c r="R16" i="5"/>
  <c r="Q16" i="5"/>
  <c r="O16" i="5"/>
  <c r="N16" i="5"/>
  <c r="L16" i="5"/>
  <c r="K16" i="5"/>
  <c r="I16" i="5"/>
  <c r="H16" i="5"/>
  <c r="F16" i="5"/>
  <c r="E16" i="5"/>
  <c r="C16" i="5"/>
  <c r="B16" i="5"/>
  <c r="AD15" i="5"/>
  <c r="AC15" i="5"/>
  <c r="AA15" i="5"/>
  <c r="Z15" i="5"/>
  <c r="X15" i="5"/>
  <c r="W15" i="5"/>
  <c r="U15" i="5"/>
  <c r="T15" i="5"/>
  <c r="R15" i="5"/>
  <c r="Q15" i="5"/>
  <c r="O15" i="5"/>
  <c r="N15" i="5"/>
  <c r="L15" i="5"/>
  <c r="K15" i="5"/>
  <c r="I15" i="5"/>
  <c r="H15" i="5"/>
  <c r="F15" i="5"/>
  <c r="E15" i="5"/>
  <c r="C15" i="5"/>
  <c r="AD14" i="5"/>
  <c r="AC14" i="5"/>
  <c r="AA14" i="5"/>
  <c r="Z14" i="5"/>
  <c r="X14" i="5"/>
  <c r="W14" i="5"/>
  <c r="U14" i="5"/>
  <c r="T14" i="5"/>
  <c r="R14" i="5"/>
  <c r="Q14" i="5"/>
  <c r="O14" i="5"/>
  <c r="N14" i="5"/>
  <c r="L14" i="5"/>
  <c r="K14" i="5"/>
  <c r="I14" i="5"/>
  <c r="H14" i="5"/>
  <c r="F14" i="5"/>
  <c r="E14" i="5"/>
  <c r="C14" i="5"/>
  <c r="B14" i="5"/>
  <c r="AD13" i="5"/>
  <c r="AC13" i="5"/>
  <c r="AA13" i="5"/>
  <c r="Z13" i="5"/>
  <c r="X13" i="5"/>
  <c r="W13" i="5"/>
  <c r="U13" i="5"/>
  <c r="T13" i="5"/>
  <c r="R13" i="5"/>
  <c r="Q13" i="5"/>
  <c r="O13" i="5"/>
  <c r="N13" i="5"/>
  <c r="L13" i="5"/>
  <c r="K13" i="5"/>
  <c r="I13" i="5"/>
  <c r="H13" i="5"/>
  <c r="F13" i="5"/>
  <c r="E13" i="5"/>
  <c r="C13" i="5"/>
  <c r="B13" i="5"/>
  <c r="AD12" i="5"/>
  <c r="AC12" i="5"/>
  <c r="AA12" i="5"/>
  <c r="Z12" i="5"/>
  <c r="X12" i="5"/>
  <c r="W12" i="5"/>
  <c r="U12" i="5"/>
  <c r="T12" i="5"/>
  <c r="R12" i="5"/>
  <c r="Q12" i="5"/>
  <c r="O12" i="5"/>
  <c r="N12" i="5"/>
  <c r="L12" i="5"/>
  <c r="K12" i="5"/>
  <c r="I12" i="5"/>
  <c r="H12" i="5"/>
  <c r="F12" i="5"/>
  <c r="E12" i="5"/>
  <c r="C12" i="5"/>
  <c r="B12" i="5"/>
  <c r="AD11" i="5"/>
  <c r="AC11" i="5"/>
  <c r="AA11" i="5"/>
  <c r="Z11" i="5"/>
  <c r="X11" i="5"/>
  <c r="W11" i="5"/>
  <c r="U11" i="5"/>
  <c r="T11" i="5"/>
  <c r="R11" i="5"/>
  <c r="Q11" i="5"/>
  <c r="O11" i="5"/>
  <c r="N11" i="5"/>
  <c r="L11" i="5"/>
  <c r="K11" i="5"/>
  <c r="I11" i="5"/>
  <c r="H11" i="5"/>
  <c r="F11" i="5"/>
  <c r="E11" i="5"/>
  <c r="C11" i="5"/>
  <c r="B11" i="5"/>
  <c r="AD10" i="5"/>
  <c r="AC10" i="5"/>
  <c r="AA10" i="5"/>
  <c r="Z10" i="5"/>
  <c r="X10" i="5"/>
  <c r="W10" i="5"/>
  <c r="U10" i="5"/>
  <c r="T10" i="5"/>
  <c r="R10" i="5"/>
  <c r="Q10" i="5"/>
  <c r="O10" i="5"/>
  <c r="N10" i="5"/>
  <c r="L10" i="5"/>
  <c r="K10" i="5"/>
  <c r="I10" i="5"/>
  <c r="H10" i="5"/>
  <c r="F10" i="5"/>
  <c r="E10" i="5"/>
  <c r="C10" i="5"/>
  <c r="B10" i="5"/>
  <c r="AE8" i="5"/>
  <c r="AB8" i="5"/>
  <c r="Y8" i="5"/>
  <c r="V8" i="5"/>
  <c r="S8" i="5"/>
  <c r="P8" i="5"/>
  <c r="M8" i="5"/>
  <c r="J8" i="5"/>
  <c r="G8" i="5"/>
  <c r="D8" i="5"/>
  <c r="AD6" i="5"/>
  <c r="AC6" i="5"/>
  <c r="AA6" i="5"/>
  <c r="Z6" i="5"/>
  <c r="X6" i="5"/>
  <c r="W6" i="5"/>
  <c r="U6" i="5"/>
  <c r="T6" i="5"/>
  <c r="R6" i="5"/>
  <c r="Q6" i="5"/>
  <c r="O6" i="5"/>
  <c r="N6" i="5"/>
  <c r="L6" i="5"/>
  <c r="K6" i="5"/>
  <c r="I6" i="5"/>
  <c r="H6" i="5"/>
  <c r="F6" i="5"/>
  <c r="E6" i="5"/>
  <c r="C6" i="5"/>
  <c r="B6" i="5"/>
  <c r="AD5" i="5"/>
  <c r="AC5" i="5"/>
  <c r="AA5" i="5"/>
  <c r="Z5" i="5"/>
  <c r="X5" i="5"/>
  <c r="W5" i="5"/>
  <c r="U5" i="5"/>
  <c r="T5" i="5"/>
  <c r="R5" i="5"/>
  <c r="Q5" i="5"/>
  <c r="O5" i="5"/>
  <c r="N5" i="5"/>
  <c r="L5" i="5"/>
  <c r="K5" i="5"/>
  <c r="I5" i="5"/>
  <c r="H5" i="5"/>
  <c r="F5" i="5"/>
  <c r="E5" i="5"/>
  <c r="C5" i="5"/>
  <c r="B5" i="5"/>
  <c r="AD4" i="5"/>
  <c r="AC4" i="5"/>
  <c r="AA4" i="5"/>
  <c r="Z4" i="5"/>
  <c r="X4" i="5"/>
  <c r="W4" i="5"/>
  <c r="U4" i="5"/>
  <c r="T4" i="5"/>
  <c r="R4" i="5"/>
  <c r="Q4" i="5"/>
  <c r="O4" i="5"/>
  <c r="N4" i="5"/>
  <c r="L4" i="5"/>
  <c r="K4" i="5"/>
  <c r="I4" i="5"/>
  <c r="H4" i="5"/>
  <c r="F4" i="5"/>
  <c r="E4" i="5"/>
  <c r="C4" i="5"/>
  <c r="B4" i="5"/>
  <c r="AE2" i="5"/>
  <c r="AE45" i="5" s="1"/>
  <c r="AB2" i="5"/>
  <c r="AB45" i="5" s="1"/>
  <c r="Y2" i="5"/>
  <c r="V2" i="5"/>
  <c r="V45" i="5" s="1"/>
  <c r="S2" i="5"/>
  <c r="S45" i="5" s="1"/>
  <c r="P2" i="5"/>
  <c r="P45" i="5" s="1"/>
  <c r="M2" i="5"/>
  <c r="J2" i="5"/>
  <c r="G2" i="5"/>
  <c r="G45" i="5" s="1"/>
  <c r="D2" i="5"/>
  <c r="D45" i="5" s="1"/>
  <c r="D2" i="6" s="1"/>
  <c r="AA60" i="6"/>
  <c r="X60" i="6"/>
  <c r="U60" i="6"/>
  <c r="AD46" i="6"/>
  <c r="AA46" i="6"/>
  <c r="X46" i="6"/>
  <c r="U46" i="6"/>
  <c r="AD28" i="6"/>
  <c r="AA28" i="6"/>
  <c r="X28" i="6"/>
  <c r="U28" i="6"/>
  <c r="AD10" i="6"/>
  <c r="AA10" i="6"/>
  <c r="X10" i="6"/>
  <c r="U10" i="6"/>
  <c r="R28" i="6"/>
  <c r="R10" i="6"/>
  <c r="R60" i="6"/>
  <c r="AD60" i="6"/>
  <c r="R46" i="6"/>
  <c r="O60" i="6"/>
  <c r="O46" i="6"/>
  <c r="O28" i="6"/>
  <c r="O10" i="6"/>
  <c r="L60" i="6"/>
  <c r="L46" i="6"/>
  <c r="L28" i="6"/>
  <c r="L10" i="6"/>
  <c r="I60" i="6"/>
  <c r="I46" i="6"/>
  <c r="I28" i="6"/>
  <c r="I10" i="6"/>
  <c r="F60" i="6"/>
  <c r="F46" i="6"/>
  <c r="F28" i="6"/>
  <c r="F10" i="6"/>
  <c r="C60" i="6"/>
  <c r="C46" i="6"/>
  <c r="C28" i="6"/>
  <c r="C10" i="6"/>
  <c r="AA62" i="6" l="1"/>
  <c r="O62" i="6"/>
  <c r="X62" i="6"/>
  <c r="L62" i="6"/>
  <c r="U62" i="6"/>
  <c r="I62" i="6"/>
  <c r="AD62" i="6"/>
  <c r="R62" i="6"/>
  <c r="F62" i="6"/>
  <c r="C62" i="6"/>
  <c r="D63" i="6"/>
  <c r="J45" i="5"/>
  <c r="M45" i="5"/>
  <c r="Y45" i="5"/>
  <c r="U7" i="1"/>
  <c r="S7" i="1"/>
  <c r="Q7" i="1"/>
  <c r="O7" i="1"/>
  <c r="M7" i="1"/>
  <c r="K7" i="1"/>
  <c r="I7" i="1"/>
  <c r="G7" i="1"/>
  <c r="E7" i="1"/>
  <c r="C7" i="1"/>
  <c r="E17" i="1" l="1"/>
  <c r="U17" i="1"/>
  <c r="G17" i="1"/>
  <c r="I17" i="1"/>
  <c r="K17" i="1"/>
  <c r="M17" i="1"/>
  <c r="O17" i="1"/>
  <c r="Q17" i="1"/>
  <c r="S17" i="1"/>
  <c r="E27" i="1"/>
  <c r="U27" i="1"/>
  <c r="G27" i="1"/>
  <c r="I27" i="1"/>
  <c r="K27" i="1"/>
  <c r="M27" i="1"/>
  <c r="O27" i="1"/>
  <c r="Q27" i="1"/>
  <c r="S27" i="1"/>
  <c r="E2" i="1" l="1"/>
  <c r="U2" i="1" s="1"/>
  <c r="G2" i="1" s="1"/>
  <c r="I2" i="1" s="1"/>
  <c r="K2" i="1" s="1"/>
  <c r="M2" i="1" s="1"/>
  <c r="O2" i="1" s="1"/>
  <c r="Q2" i="1" s="1"/>
  <c r="S2" i="1" s="1"/>
  <c r="S35" i="1" l="1"/>
  <c r="S37" i="1" s="1"/>
  <c r="S38" i="1" s="1"/>
  <c r="Q35" i="1"/>
  <c r="O35" i="1"/>
  <c r="O37" i="1" s="1"/>
  <c r="O38" i="1" s="1"/>
  <c r="M35" i="1"/>
  <c r="M37" i="1" s="1"/>
  <c r="M38" i="1" s="1"/>
  <c r="K35" i="1"/>
  <c r="K37" i="1" s="1"/>
  <c r="K38" i="1" s="1"/>
  <c r="I35" i="1"/>
  <c r="G35" i="1"/>
  <c r="G37" i="1" s="1"/>
  <c r="G38" i="1" s="1"/>
  <c r="U35" i="1"/>
  <c r="U37" i="1" s="1"/>
  <c r="U38" i="1" s="1"/>
  <c r="E35" i="1"/>
  <c r="E37" i="1" s="1"/>
  <c r="E38" i="1" s="1"/>
  <c r="C35" i="1"/>
  <c r="C27" i="1"/>
  <c r="C17" i="1"/>
  <c r="C37" i="1" l="1"/>
  <c r="C38" i="1" s="1"/>
  <c r="I37" i="1"/>
  <c r="I38" i="1" s="1"/>
  <c r="Q37" i="1"/>
  <c r="Q38" i="1" s="1"/>
</calcChain>
</file>

<file path=xl/sharedStrings.xml><?xml version="1.0" encoding="utf-8"?>
<sst xmlns="http://schemas.openxmlformats.org/spreadsheetml/2006/main" count="3983" uniqueCount="698">
  <si>
    <t>Io</t>
  </si>
  <si>
    <t>Aguzzoni</t>
  </si>
  <si>
    <t>Baroncini</t>
  </si>
  <si>
    <t>Di Muzio</t>
  </si>
  <si>
    <t>Foschini</t>
  </si>
  <si>
    <t>Galletti N.</t>
  </si>
  <si>
    <t>Pasquali</t>
  </si>
  <si>
    <t>Righetti</t>
  </si>
  <si>
    <t>PORTA</t>
  </si>
  <si>
    <t>DIFESA</t>
  </si>
  <si>
    <t>CENTROC.</t>
  </si>
  <si>
    <t>ATTACCO</t>
  </si>
  <si>
    <t>Spesi</t>
  </si>
  <si>
    <t>Cap</t>
  </si>
  <si>
    <t>Sub P</t>
  </si>
  <si>
    <t>Sub D</t>
  </si>
  <si>
    <t>Sub C</t>
  </si>
  <si>
    <t>Sub A</t>
  </si>
  <si>
    <t>Rim.</t>
  </si>
  <si>
    <t>I</t>
  </si>
  <si>
    <t>II</t>
  </si>
  <si>
    <t>III</t>
  </si>
  <si>
    <t>IV</t>
  </si>
  <si>
    <t>V</t>
  </si>
  <si>
    <t>VI</t>
  </si>
  <si>
    <t>VII</t>
  </si>
  <si>
    <t>VIII</t>
  </si>
  <si>
    <t>+/-</t>
  </si>
  <si>
    <t>Id</t>
  </si>
  <si>
    <t>R</t>
  </si>
  <si>
    <t>Nome</t>
  </si>
  <si>
    <t>Squadra</t>
  </si>
  <si>
    <t>Qt. A</t>
  </si>
  <si>
    <t>Qt. I</t>
  </si>
  <si>
    <t>Diff.</t>
  </si>
  <si>
    <t>P</t>
  </si>
  <si>
    <t>SPORTIELLO</t>
  </si>
  <si>
    <t>Fiorentina</t>
  </si>
  <si>
    <t>D</t>
  </si>
  <si>
    <t>CONTI</t>
  </si>
  <si>
    <t>Milan</t>
  </si>
  <si>
    <t>SPAL</t>
  </si>
  <si>
    <t>MASIELLO A</t>
  </si>
  <si>
    <t>Atalanta</t>
  </si>
  <si>
    <t>C</t>
  </si>
  <si>
    <t>CIGARINI</t>
  </si>
  <si>
    <t>Cagliari</t>
  </si>
  <si>
    <t>D'ALESSANDRO</t>
  </si>
  <si>
    <t>DE ROON</t>
  </si>
  <si>
    <t>A</t>
  </si>
  <si>
    <t>GOMEZ A</t>
  </si>
  <si>
    <t>GRASSI</t>
  </si>
  <si>
    <t>KURTIC</t>
  </si>
  <si>
    <t>DA COSTA</t>
  </si>
  <si>
    <t>Bologna</t>
  </si>
  <si>
    <t>MIRANTE</t>
  </si>
  <si>
    <t>FERRARI A</t>
  </si>
  <si>
    <t>MBAYE</t>
  </si>
  <si>
    <t>ROSSETTINI</t>
  </si>
  <si>
    <t>Genoa</t>
  </si>
  <si>
    <t>CRISETIG</t>
  </si>
  <si>
    <t>DIAWARA</t>
  </si>
  <si>
    <t>Napoli</t>
  </si>
  <si>
    <t>RIZZO</t>
  </si>
  <si>
    <t>ROMAGNOLI S</t>
  </si>
  <si>
    <t>SPOLLI</t>
  </si>
  <si>
    <t>LASAGNA</t>
  </si>
  <si>
    <t>Udinese</t>
  </si>
  <si>
    <t>SECULIN</t>
  </si>
  <si>
    <t>Chievo</t>
  </si>
  <si>
    <t>CACCIATORE</t>
  </si>
  <si>
    <t>CESAR</t>
  </si>
  <si>
    <t>GOBBI</t>
  </si>
  <si>
    <t>MATTIELLO</t>
  </si>
  <si>
    <t>BIRSA</t>
  </si>
  <si>
    <t>CASTRO</t>
  </si>
  <si>
    <t>HETEMAJ</t>
  </si>
  <si>
    <t>RADOVANOVIC</t>
  </si>
  <si>
    <t>RIGONI N</t>
  </si>
  <si>
    <t>INGLESE</t>
  </si>
  <si>
    <t>MEGGIORINI</t>
  </si>
  <si>
    <t>PALOSCHI</t>
  </si>
  <si>
    <t>PELLISSIER</t>
  </si>
  <si>
    <t>SKORUPSKI</t>
  </si>
  <si>
    <t>Roma</t>
  </si>
  <si>
    <t>HYSAJ</t>
  </si>
  <si>
    <t>LAURINI</t>
  </si>
  <si>
    <t>MARIO RUI</t>
  </si>
  <si>
    <t>TONELLI</t>
  </si>
  <si>
    <t>SAPONARA</t>
  </si>
  <si>
    <t>ZIELINSKI</t>
  </si>
  <si>
    <t>PUCCIARELLI</t>
  </si>
  <si>
    <t>SEPE</t>
  </si>
  <si>
    <t>TOMOVIC</t>
  </si>
  <si>
    <t>BADELJ</t>
  </si>
  <si>
    <t>BORJA VALERO</t>
  </si>
  <si>
    <t>Inter</t>
  </si>
  <si>
    <t>CAPEZZI</t>
  </si>
  <si>
    <t>Sampdoria</t>
  </si>
  <si>
    <t>ILICIC</t>
  </si>
  <si>
    <t>VECINO</t>
  </si>
  <si>
    <t>BABACAR</t>
  </si>
  <si>
    <t>Sassuolo</t>
  </si>
  <si>
    <t>BERNARDESCHI</t>
  </si>
  <si>
    <t>Juventus</t>
  </si>
  <si>
    <t>VERDE</t>
  </si>
  <si>
    <t>DONNARUMMA A</t>
  </si>
  <si>
    <t>PERIN</t>
  </si>
  <si>
    <t>Torino</t>
  </si>
  <si>
    <t>DE MAIO</t>
  </si>
  <si>
    <t>IZZO</t>
  </si>
  <si>
    <t>LAXALT</t>
  </si>
  <si>
    <t>LAZOVIC</t>
  </si>
  <si>
    <t>PEROTTI</t>
  </si>
  <si>
    <t>RINCON</t>
  </si>
  <si>
    <t>PANDEV</t>
  </si>
  <si>
    <t>PAVOLETTI</t>
  </si>
  <si>
    <t>BERNI</t>
  </si>
  <si>
    <t>HANDANOVIC</t>
  </si>
  <si>
    <t>ANDREOLLI</t>
  </si>
  <si>
    <t>BIRAGHI</t>
  </si>
  <si>
    <t>D'AMBROSIO</t>
  </si>
  <si>
    <t>JUAN JESUS</t>
  </si>
  <si>
    <t>MIRANDA</t>
  </si>
  <si>
    <t>RANOCCHIA</t>
  </si>
  <si>
    <t>SANTON</t>
  </si>
  <si>
    <t>BESSA</t>
  </si>
  <si>
    <t>BROZOVIC</t>
  </si>
  <si>
    <t>ICARDI</t>
  </si>
  <si>
    <t>PALACIO</t>
  </si>
  <si>
    <t>BARZAGLI</t>
  </si>
  <si>
    <t>BONUCCI</t>
  </si>
  <si>
    <t>CACERES</t>
  </si>
  <si>
    <t>Lazio</t>
  </si>
  <si>
    <t>CHIELLINI</t>
  </si>
  <si>
    <t>RUGANI</t>
  </si>
  <si>
    <t>ASAMOAH</t>
  </si>
  <si>
    <t>KHEDIRA</t>
  </si>
  <si>
    <t>MARCHISIO</t>
  </si>
  <si>
    <t>PADOIN</t>
  </si>
  <si>
    <t>STURARO</t>
  </si>
  <si>
    <t>DYBALA</t>
  </si>
  <si>
    <t>MANDZUKIC</t>
  </si>
  <si>
    <t>GUERRIERI</t>
  </si>
  <si>
    <t>MARCHETTI</t>
  </si>
  <si>
    <t>BASTA</t>
  </si>
  <si>
    <t>DE VRIJ</t>
  </si>
  <si>
    <t>PATRIC</t>
  </si>
  <si>
    <t>RADU</t>
  </si>
  <si>
    <t>BIGLIA</t>
  </si>
  <si>
    <t>CANDREVA</t>
  </si>
  <si>
    <t>CATALDI</t>
  </si>
  <si>
    <t>LULIC</t>
  </si>
  <si>
    <t>PAROLO</t>
  </si>
  <si>
    <t>DJORDJEVIC</t>
  </si>
  <si>
    <t>DONNARUMMA G</t>
  </si>
  <si>
    <t>ABATE</t>
  </si>
  <si>
    <t>ANTONELLI</t>
  </si>
  <si>
    <t>CALABRIA</t>
  </si>
  <si>
    <t>DE SCIGLIO</t>
  </si>
  <si>
    <t>SIMIC S</t>
  </si>
  <si>
    <t>ZAPATA C</t>
  </si>
  <si>
    <t>BERTOLACCI</t>
  </si>
  <si>
    <t>BONAVENTURA</t>
  </si>
  <si>
    <t>MAURI J</t>
  </si>
  <si>
    <t>MONTOLIVO</t>
  </si>
  <si>
    <t>POLI</t>
  </si>
  <si>
    <t>SUSO</t>
  </si>
  <si>
    <t>VERDI</t>
  </si>
  <si>
    <t>MATRI</t>
  </si>
  <si>
    <t>NIANG</t>
  </si>
  <si>
    <t>PETAGNA</t>
  </si>
  <si>
    <t>RAFAEL CABRAL</t>
  </si>
  <si>
    <t>REINA</t>
  </si>
  <si>
    <t>ALBIOL</t>
  </si>
  <si>
    <t>GHOULAM</t>
  </si>
  <si>
    <t>KOULIBALY</t>
  </si>
  <si>
    <t>STRINIC</t>
  </si>
  <si>
    <t>ALLAN</t>
  </si>
  <si>
    <t>HAMSIK</t>
  </si>
  <si>
    <t>VALDIFIORI</t>
  </si>
  <si>
    <t>CALLEJON</t>
  </si>
  <si>
    <t>HIGUAIN</t>
  </si>
  <si>
    <t>INSIGNE</t>
  </si>
  <si>
    <t>MERTENS</t>
  </si>
  <si>
    <t>SORRENTINO</t>
  </si>
  <si>
    <t>GOLDANIGA</t>
  </si>
  <si>
    <t>GONZALEZ G</t>
  </si>
  <si>
    <t>HILJEMARK</t>
  </si>
  <si>
    <t>RIGONI L</t>
  </si>
  <si>
    <t>BELOTTI</t>
  </si>
  <si>
    <t>SZCZESNY</t>
  </si>
  <si>
    <t>MANOLAS</t>
  </si>
  <si>
    <t>ROMAGNOLI A</t>
  </si>
  <si>
    <t>DE ROSSI</t>
  </si>
  <si>
    <t>FLORENZI</t>
  </si>
  <si>
    <t>NAINGGOLAN</t>
  </si>
  <si>
    <t>PJANIC</t>
  </si>
  <si>
    <t>STROOTMAN</t>
  </si>
  <si>
    <t>DESTRO</t>
  </si>
  <si>
    <t>IAGO FALQUE</t>
  </si>
  <si>
    <t>LJAJIC</t>
  </si>
  <si>
    <t>VIVIANO</t>
  </si>
  <si>
    <t>DE SILVESTRI</t>
  </si>
  <si>
    <t>REGINI</t>
  </si>
  <si>
    <t>SALAMON</t>
  </si>
  <si>
    <t>SILVESTRE</t>
  </si>
  <si>
    <t>ZUKANOVIC</t>
  </si>
  <si>
    <t>CONSIGLI</t>
  </si>
  <si>
    <t>PEGOLO</t>
  </si>
  <si>
    <t>ACERBI</t>
  </si>
  <si>
    <t>DELL'ORCO</t>
  </si>
  <si>
    <t>PELUSO</t>
  </si>
  <si>
    <t>DUNCAN</t>
  </si>
  <si>
    <t>MAGNANELLI</t>
  </si>
  <si>
    <t>MISSIROLI</t>
  </si>
  <si>
    <t>BERARDI</t>
  </si>
  <si>
    <t>FALCINELLI</t>
  </si>
  <si>
    <t>FLOCCARI</t>
  </si>
  <si>
    <t>POLITANO</t>
  </si>
  <si>
    <t>GOMIS A</t>
  </si>
  <si>
    <t>ICHAZO</t>
  </si>
  <si>
    <t>PADELLI</t>
  </si>
  <si>
    <t>MOLINARO</t>
  </si>
  <si>
    <t>MORETTI</t>
  </si>
  <si>
    <t>ACQUAH</t>
  </si>
  <si>
    <t>BASELLI</t>
  </si>
  <si>
    <t>BENASSI</t>
  </si>
  <si>
    <t>OBI</t>
  </si>
  <si>
    <t>QUAGLIARELLA</t>
  </si>
  <si>
    <t>MERET</t>
  </si>
  <si>
    <t>SCUFFET</t>
  </si>
  <si>
    <t>ADNAN</t>
  </si>
  <si>
    <t>DANILO</t>
  </si>
  <si>
    <t>HEURTAUX</t>
  </si>
  <si>
    <t>VERRE</t>
  </si>
  <si>
    <t>PERICA</t>
  </si>
  <si>
    <t>THEREAU</t>
  </si>
  <si>
    <t>ZAPATA D</t>
  </si>
  <si>
    <t>GOLLINI</t>
  </si>
  <si>
    <t>RAFAEL</t>
  </si>
  <si>
    <t>HELANDER</t>
  </si>
  <si>
    <t>ROMULO</t>
  </si>
  <si>
    <t>HALLFREDSSON</t>
  </si>
  <si>
    <t>IONITA</t>
  </si>
  <si>
    <t>SALA</t>
  </si>
  <si>
    <t>VIVIANI</t>
  </si>
  <si>
    <t>FARES</t>
  </si>
  <si>
    <t>CHIRICHES</t>
  </si>
  <si>
    <t>DEFREL</t>
  </si>
  <si>
    <t>PULGAR</t>
  </si>
  <si>
    <t>MILINKOVIC-SAVIC</t>
  </si>
  <si>
    <t>DZEKO</t>
  </si>
  <si>
    <t>KALINIC</t>
  </si>
  <si>
    <t>ALEX SANDRO</t>
  </si>
  <si>
    <t>KRAFTH</t>
  </si>
  <si>
    <t>DONSAH</t>
  </si>
  <si>
    <t>TOLOI</t>
  </si>
  <si>
    <t>CUADRADO</t>
  </si>
  <si>
    <t>GIACCHERINI</t>
  </si>
  <si>
    <t>PERISIC</t>
  </si>
  <si>
    <t>ANSALDI</t>
  </si>
  <si>
    <t>FELIPE</t>
  </si>
  <si>
    <t>DZEMAILI</t>
  </si>
  <si>
    <t>BELEC</t>
  </si>
  <si>
    <t>VITALE</t>
  </si>
  <si>
    <t>PEREIRA P</t>
  </si>
  <si>
    <t>PEZZELLA GIU</t>
  </si>
  <si>
    <t>TUMMINELLO</t>
  </si>
  <si>
    <t>CRISTANTE</t>
  </si>
  <si>
    <t>CIONEK</t>
  </si>
  <si>
    <t>IMMOBILE</t>
  </si>
  <si>
    <t>DJIMSITI</t>
  </si>
  <si>
    <t>FREULER</t>
  </si>
  <si>
    <t>TROTTA</t>
  </si>
  <si>
    <t>SAMIR</t>
  </si>
  <si>
    <t>EL SHAARAWY</t>
  </si>
  <si>
    <t>SKRINIAR</t>
  </si>
  <si>
    <t>GAGLIARDINI</t>
  </si>
  <si>
    <t>BALIC</t>
  </si>
  <si>
    <t>COSTA F</t>
  </si>
  <si>
    <t>ADJAPONG</t>
  </si>
  <si>
    <t>LOCATELLI M</t>
  </si>
  <si>
    <t>EDERA</t>
  </si>
  <si>
    <t>CALDARA</t>
  </si>
  <si>
    <t>KESSIE'</t>
  </si>
  <si>
    <t>SPINAZZOLA</t>
  </si>
  <si>
    <t>DI FRANCESCO F</t>
  </si>
  <si>
    <t>KREJCI</t>
  </si>
  <si>
    <t>NAGY</t>
  </si>
  <si>
    <t>CAPUANO</t>
  </si>
  <si>
    <t>CEPPITELLI</t>
  </si>
  <si>
    <t>MURRU</t>
  </si>
  <si>
    <t>PISACANE</t>
  </si>
  <si>
    <t>BARELLA</t>
  </si>
  <si>
    <t>DEIOLA</t>
  </si>
  <si>
    <t>DESSENA</t>
  </si>
  <si>
    <t>DI GENNARO D</t>
  </si>
  <si>
    <t>JOAO PEDRO</t>
  </si>
  <si>
    <t>FARIAS</t>
  </si>
  <si>
    <t>SAU</t>
  </si>
  <si>
    <t>CECCHERINI</t>
  </si>
  <si>
    <t>FERRARI G</t>
  </si>
  <si>
    <t>DRAGOWSKI</t>
  </si>
  <si>
    <t>PINSOGLIO</t>
  </si>
  <si>
    <t>BENATIA</t>
  </si>
  <si>
    <t>MANDRAGORA</t>
  </si>
  <si>
    <t>STRAKOSHA</t>
  </si>
  <si>
    <t>LAPADULA</t>
  </si>
  <si>
    <t>ZAMPANO</t>
  </si>
  <si>
    <t>CAPRARI</t>
  </si>
  <si>
    <t>GERSON</t>
  </si>
  <si>
    <t>TOZZO</t>
  </si>
  <si>
    <t>SCHICK</t>
  </si>
  <si>
    <t>MAZZITELLI</t>
  </si>
  <si>
    <t>SENSI</t>
  </si>
  <si>
    <t>PARIGINI</t>
  </si>
  <si>
    <t>ANGELLA</t>
  </si>
  <si>
    <t>FOFANA</t>
  </si>
  <si>
    <t>JANKTO</t>
  </si>
  <si>
    <t>DJURICIC</t>
  </si>
  <si>
    <t>DE PAUL</t>
  </si>
  <si>
    <t>LUKAKU J</t>
  </si>
  <si>
    <t>CHIESA</t>
  </si>
  <si>
    <t>MURGIA</t>
  </si>
  <si>
    <t>LIROLA</t>
  </si>
  <si>
    <t>WALLACE</t>
  </si>
  <si>
    <t>LINETTY</t>
  </si>
  <si>
    <t>MIGUEL VELOSO</t>
  </si>
  <si>
    <t>MILIK</t>
  </si>
  <si>
    <t>RICCI</t>
  </si>
  <si>
    <t>LETSCHERT</t>
  </si>
  <si>
    <t>FAZIO</t>
  </si>
  <si>
    <t>PINAMONTI</t>
  </si>
  <si>
    <t>LOMBARDI</t>
  </si>
  <si>
    <t>GOMEZ G</t>
  </si>
  <si>
    <t>SIMEONE</t>
  </si>
  <si>
    <t>BASTOS</t>
  </si>
  <si>
    <t>PRAET</t>
  </si>
  <si>
    <t>RAGUSA</t>
  </si>
  <si>
    <t>CRISTOFORO</t>
  </si>
  <si>
    <t>ROG</t>
  </si>
  <si>
    <t>BIRASCHI</t>
  </si>
  <si>
    <t>LUIS ALBERTO</t>
  </si>
  <si>
    <t>OLIVERA M</t>
  </si>
  <si>
    <t>KEAN</t>
  </si>
  <si>
    <t>BERESZYNSKI</t>
  </si>
  <si>
    <t>PETKOVIC</t>
  </si>
  <si>
    <t>BASTONI</t>
  </si>
  <si>
    <t>SATALINO</t>
  </si>
  <si>
    <t>SIMIC L</t>
  </si>
  <si>
    <t>HATEBOER</t>
  </si>
  <si>
    <t>VALENCIA JM</t>
  </si>
  <si>
    <t>DEPAOLI</t>
  </si>
  <si>
    <t>HAN</t>
  </si>
  <si>
    <t>CUTRONE</t>
  </si>
  <si>
    <t>GOSENS</t>
  </si>
  <si>
    <t>CORNELIUS</t>
  </si>
  <si>
    <t>MILENKOVIC</t>
  </si>
  <si>
    <t>VITOR HUGO</t>
  </si>
  <si>
    <t>BENTANCUR</t>
  </si>
  <si>
    <t>ORSOLINI</t>
  </si>
  <si>
    <t>MUSACCHIO</t>
  </si>
  <si>
    <t>RODRIGUEZ R</t>
  </si>
  <si>
    <t>MILINKOVIC-SAVIC V</t>
  </si>
  <si>
    <t>LYANCO</t>
  </si>
  <si>
    <t>BARAK</t>
  </si>
  <si>
    <t>VENUTI</t>
  </si>
  <si>
    <t>ANDRE' SILVA</t>
  </si>
  <si>
    <t>CRAGNO</t>
  </si>
  <si>
    <t>SIRIGU</t>
  </si>
  <si>
    <t>KARSDORP</t>
  </si>
  <si>
    <t>PALOMINO</t>
  </si>
  <si>
    <t>GAUDINO</t>
  </si>
  <si>
    <t>BORINI</t>
  </si>
  <si>
    <t>MARUSIC</t>
  </si>
  <si>
    <t>INGELSSON</t>
  </si>
  <si>
    <t>BONIFAZI</t>
  </si>
  <si>
    <t>GONALONS</t>
  </si>
  <si>
    <t>CALHANOGLU</t>
  </si>
  <si>
    <t>OUNAS</t>
  </si>
  <si>
    <t>GALABINOV</t>
  </si>
  <si>
    <t>CASTAGNE</t>
  </si>
  <si>
    <t>KOWNACKI</t>
  </si>
  <si>
    <t>DOUGLAS COSTA</t>
  </si>
  <si>
    <t>UNDER</t>
  </si>
  <si>
    <t>BERENGUER</t>
  </si>
  <si>
    <t>ZEKHNINI</t>
  </si>
  <si>
    <t>JAROSZYNSKI</t>
  </si>
  <si>
    <t>LUCAS LEIVA</t>
  </si>
  <si>
    <t>FALLETTI</t>
  </si>
  <si>
    <t>VAISANEN</t>
  </si>
  <si>
    <t>CASSATA</t>
  </si>
  <si>
    <t>KOLAROV</t>
  </si>
  <si>
    <t>VERETOUT</t>
  </si>
  <si>
    <t>KONATE</t>
  </si>
  <si>
    <t>SANTURRO</t>
  </si>
  <si>
    <t>POLUZZI</t>
  </si>
  <si>
    <t>VICARI</t>
  </si>
  <si>
    <t>LAZZARI M</t>
  </si>
  <si>
    <t>SCHIATTARELLA</t>
  </si>
  <si>
    <t>ANTENUCCI</t>
  </si>
  <si>
    <t>NICOLAS</t>
  </si>
  <si>
    <t>VALOTI</t>
  </si>
  <si>
    <t>ROMAGNA</t>
  </si>
  <si>
    <t>NUYTINCK</t>
  </si>
  <si>
    <t>CAICEDO</t>
  </si>
  <si>
    <t>BANI</t>
  </si>
  <si>
    <t>RAMIREZ</t>
  </si>
  <si>
    <t>N'KOULOU</t>
  </si>
  <si>
    <t>DALBERT</t>
  </si>
  <si>
    <t>EYSSERIC</t>
  </si>
  <si>
    <t>OMEONGA</t>
  </si>
  <si>
    <t>MANCINI G</t>
  </si>
  <si>
    <t>ROSSI F</t>
  </si>
  <si>
    <t>BEHRAMI</t>
  </si>
  <si>
    <t>SALCEDO MORA</t>
  </si>
  <si>
    <t>MATUIDI</t>
  </si>
  <si>
    <t>PEZZELLA GER</t>
  </si>
  <si>
    <t>CANCELO</t>
  </si>
  <si>
    <t>HRISTOV</t>
  </si>
  <si>
    <t>STRYGER LARSEN</t>
  </si>
  <si>
    <t>BRIGNOLA</t>
  </si>
  <si>
    <t>ROGERIO</t>
  </si>
  <si>
    <t>ANDERSEN</t>
  </si>
  <si>
    <t>KARAMOH</t>
  </si>
  <si>
    <t>STEPINSKI</t>
  </si>
  <si>
    <t>BORSELLINI</t>
  </si>
  <si>
    <t>BRUNO JORDAO</t>
  </si>
  <si>
    <t>PEDRO NETO</t>
  </si>
  <si>
    <t>LERIS</t>
  </si>
  <si>
    <t>LUIZ FELIPE</t>
  </si>
  <si>
    <t>LEMOS</t>
  </si>
  <si>
    <t>SANDRO</t>
  </si>
  <si>
    <t>AVENATTI</t>
  </si>
  <si>
    <t>LISANDRO LOPEZ</t>
  </si>
  <si>
    <t>EVERTON LUIZ</t>
  </si>
  <si>
    <t>LYKOGIANNIS</t>
  </si>
  <si>
    <t>MEDEIROS</t>
  </si>
  <si>
    <t>DABO</t>
  </si>
  <si>
    <t>TANASIJEVIC</t>
  </si>
  <si>
    <t>EL YAMIQ</t>
  </si>
  <si>
    <t>Qt. U</t>
  </si>
  <si>
    <t>BADU</t>
  </si>
  <si>
    <t>BIABIANY</t>
  </si>
  <si>
    <t>CERAVOLO</t>
  </si>
  <si>
    <t>CHIBSAH</t>
  </si>
  <si>
    <t>CICIRETTI</t>
  </si>
  <si>
    <t>EWANDRO</t>
  </si>
  <si>
    <t>GABRIEL</t>
  </si>
  <si>
    <t>GARRITANO</t>
  </si>
  <si>
    <t>GAZZOLA</t>
  </si>
  <si>
    <t>JOAO MARIO</t>
  </si>
  <si>
    <t>KARNEZIS</t>
  </si>
  <si>
    <t>KEITA B</t>
  </si>
  <si>
    <t>KIYINE</t>
  </si>
  <si>
    <t>LEVERBE</t>
  </si>
  <si>
    <t>LUKIC</t>
  </si>
  <si>
    <t>MAIETTA</t>
  </si>
  <si>
    <t>MAKSIMOVIC</t>
  </si>
  <si>
    <t>OKWONKWO</t>
  </si>
  <si>
    <t>PJACA</t>
  </si>
  <si>
    <t>RIGIONE</t>
  </si>
  <si>
    <t>RODRIGUEZ A</t>
  </si>
  <si>
    <t>SANCHEZ C</t>
  </si>
  <si>
    <t>SCAMACCA</t>
  </si>
  <si>
    <t>WAGUE</t>
  </si>
  <si>
    <t>Valli F.</t>
  </si>
  <si>
    <t>Valli M.</t>
  </si>
  <si>
    <t>CRISTIANO RONALDO</t>
  </si>
  <si>
    <t>ZAZA</t>
  </si>
  <si>
    <t>PASTORE</t>
  </si>
  <si>
    <t>BOATENG</t>
  </si>
  <si>
    <t>KLUIVERT</t>
  </si>
  <si>
    <t>MARTINEZ L</t>
  </si>
  <si>
    <t>CASTILLEJO</t>
  </si>
  <si>
    <t>OLSEN</t>
  </si>
  <si>
    <t>VRSALJKO</t>
  </si>
  <si>
    <t>PASALIC</t>
  </si>
  <si>
    <t>RUIZ</t>
  </si>
  <si>
    <t>PELLEGRINI LO</t>
  </si>
  <si>
    <t>MIRALLAS</t>
  </si>
  <si>
    <t>CAPUTO</t>
  </si>
  <si>
    <t>Empoli</t>
  </si>
  <si>
    <t>Parma</t>
  </si>
  <si>
    <t>PIATEK</t>
  </si>
  <si>
    <t>BERISHA E</t>
  </si>
  <si>
    <t>CORREA</t>
  </si>
  <si>
    <t>SORIANO</t>
  </si>
  <si>
    <t>CAMPBELL</t>
  </si>
  <si>
    <t>Frosinone</t>
  </si>
  <si>
    <t>TEODORCZYK</t>
  </si>
  <si>
    <t>MACHIS</t>
  </si>
  <si>
    <t>PUSSETTO</t>
  </si>
  <si>
    <t>LA GUMINA</t>
  </si>
  <si>
    <t>BERISHA V</t>
  </si>
  <si>
    <t>BAKAYOKO</t>
  </si>
  <si>
    <t>NZONZI</t>
  </si>
  <si>
    <t>RIGONI E</t>
  </si>
  <si>
    <t>DIONISI</t>
  </si>
  <si>
    <t>BARROW</t>
  </si>
  <si>
    <t>LAFONT</t>
  </si>
  <si>
    <t>GERVINHO</t>
  </si>
  <si>
    <t>FAVILLI</t>
  </si>
  <si>
    <t>CIANO</t>
  </si>
  <si>
    <t>SANTANDER</t>
  </si>
  <si>
    <t>AUDERO</t>
  </si>
  <si>
    <t>CRISCITO</t>
  </si>
  <si>
    <t>KRUNIC</t>
  </si>
  <si>
    <t>BRADARIC</t>
  </si>
  <si>
    <t>VIZEU</t>
  </si>
  <si>
    <t>MUSSO</t>
  </si>
  <si>
    <t>MARLON</t>
  </si>
  <si>
    <t>DJOUROU</t>
  </si>
  <si>
    <t>ZAJC</t>
  </si>
  <si>
    <t>BOGA</t>
  </si>
  <si>
    <t>EKDAL</t>
  </si>
  <si>
    <t>KLAVAN</t>
  </si>
  <si>
    <t>MALCUIT</t>
  </si>
  <si>
    <t>COLLEY</t>
  </si>
  <si>
    <t>MARCANO</t>
  </si>
  <si>
    <t>PASQUAL</t>
  </si>
  <si>
    <t>SRNA</t>
  </si>
  <si>
    <t>FERNANDES</t>
  </si>
  <si>
    <t>SILIGARDI</t>
  </si>
  <si>
    <t>MRAZ</t>
  </si>
  <si>
    <t>CERRI</t>
  </si>
  <si>
    <t>PROVEDEL</t>
  </si>
  <si>
    <t>GAGLIOLO</t>
  </si>
  <si>
    <t>BENNACER</t>
  </si>
  <si>
    <t>VIEIRA</t>
  </si>
  <si>
    <t>VLOET</t>
  </si>
  <si>
    <t>UCAN</t>
  </si>
  <si>
    <t>CIOFANI D</t>
  </si>
  <si>
    <t>DJIDJI</t>
  </si>
  <si>
    <t>DURMISI</t>
  </si>
  <si>
    <t>BRUNO ALVES</t>
  </si>
  <si>
    <t>DIMARCO</t>
  </si>
  <si>
    <t>LAKICEVIC</t>
  </si>
  <si>
    <t>DI LORENZO</t>
  </si>
  <si>
    <t>DIJKS</t>
  </si>
  <si>
    <t>RECA</t>
  </si>
  <si>
    <t>PESSINA</t>
  </si>
  <si>
    <t>NORGAARD</t>
  </si>
  <si>
    <t>MAIELLO</t>
  </si>
  <si>
    <t>SODDIMO</t>
  </si>
  <si>
    <t>DEZI</t>
  </si>
  <si>
    <t>STULAC</t>
  </si>
  <si>
    <t>BARRETO</t>
  </si>
  <si>
    <t>BOURABIA</t>
  </si>
  <si>
    <t>ROLON</t>
  </si>
  <si>
    <t>BARAYE</t>
  </si>
  <si>
    <t>DA CRUZ</t>
  </si>
  <si>
    <t>MCHEDLIDZE</t>
  </si>
  <si>
    <t>AINA</t>
  </si>
  <si>
    <t>BARBA</t>
  </si>
  <si>
    <t>BREMER</t>
  </si>
  <si>
    <t>ARIAUDO</t>
  </si>
  <si>
    <t>KRAJNC</t>
  </si>
  <si>
    <t>DIKS</t>
  </si>
  <si>
    <t>MARCJANIK</t>
  </si>
  <si>
    <t>VESELI</t>
  </si>
  <si>
    <t>FARAGO'</t>
  </si>
  <si>
    <t>PAZ</t>
  </si>
  <si>
    <t>LOLLO</t>
  </si>
  <si>
    <t>DI GAUDIO</t>
  </si>
  <si>
    <t>TROOST-EKONG</t>
  </si>
  <si>
    <t>OPOKU</t>
  </si>
  <si>
    <t>TER AVEST</t>
  </si>
  <si>
    <t>JUNIOR TAVARES</t>
  </si>
  <si>
    <t>PELLEGRINI LU</t>
  </si>
  <si>
    <t>DI CESARE</t>
  </si>
  <si>
    <t>GUNTER</t>
  </si>
  <si>
    <t>HANCKO</t>
  </si>
  <si>
    <t>RASMUSSEN</t>
  </si>
  <si>
    <t>UNTERSEE</t>
  </si>
  <si>
    <t>SVANBERG</t>
  </si>
  <si>
    <t>CALLEGARI</t>
  </si>
  <si>
    <t>BARILLA'</t>
  </si>
  <si>
    <t>SCOZZARELLA</t>
  </si>
  <si>
    <t>CORIC</t>
  </si>
  <si>
    <t>MEITE'</t>
  </si>
  <si>
    <t>ARDAIZ</t>
  </si>
  <si>
    <t>MONCINI</t>
  </si>
  <si>
    <t>YOUNES</t>
  </si>
  <si>
    <t>KOUAME'</t>
  </si>
  <si>
    <t>DICKMANN</t>
  </si>
  <si>
    <t>MAGNANI</t>
  </si>
  <si>
    <t>IACOPONI</t>
  </si>
  <si>
    <t>LUPERTO</t>
  </si>
  <si>
    <t>BRIGHENTI</t>
  </si>
  <si>
    <t>GHIGLIONE</t>
  </si>
  <si>
    <t>VALJENT</t>
  </si>
  <si>
    <t>PAJAC</t>
  </si>
  <si>
    <t>VALZANIA</t>
  </si>
  <si>
    <t>BRIGHI</t>
  </si>
  <si>
    <t>BEGHETTO</t>
  </si>
  <si>
    <t>PAGANINI</t>
  </si>
  <si>
    <t>MINALA</t>
  </si>
  <si>
    <t>HALILOVIC</t>
  </si>
  <si>
    <t>SOTTIL</t>
  </si>
  <si>
    <t>ARESTI</t>
  </si>
  <si>
    <t>FULIGNATI</t>
  </si>
  <si>
    <t>TERRACCIANO</t>
  </si>
  <si>
    <t>BARDI</t>
  </si>
  <si>
    <t>RADU I</t>
  </si>
  <si>
    <t>VODISEK</t>
  </si>
  <si>
    <t>PROTO</t>
  </si>
  <si>
    <t>PLIZZARI</t>
  </si>
  <si>
    <t>CONTINI N</t>
  </si>
  <si>
    <t>FRATTALI</t>
  </si>
  <si>
    <t>FUZATO</t>
  </si>
  <si>
    <t>FALCONE</t>
  </si>
  <si>
    <t>ROSATI</t>
  </si>
  <si>
    <t>SEMPER</t>
  </si>
  <si>
    <t>IACOBUCCI</t>
  </si>
  <si>
    <t>OSPINA</t>
  </si>
  <si>
    <t>GHIDOTTI</t>
  </si>
  <si>
    <t>SERNICOLA</t>
  </si>
  <si>
    <t>BIANDA</t>
  </si>
  <si>
    <t>CALABRESI</t>
  </si>
  <si>
    <t>BETTELLA</t>
  </si>
  <si>
    <t>VARNIER</t>
  </si>
  <si>
    <t>KULUSEVSKI</t>
  </si>
  <si>
    <t>VIGNATO</t>
  </si>
  <si>
    <t>GORI</t>
  </si>
  <si>
    <t>MUNARI</t>
  </si>
  <si>
    <t>RICCARDI</t>
  </si>
  <si>
    <t>ZANIOLO</t>
  </si>
  <si>
    <t>PEETERS</t>
  </si>
  <si>
    <t>STIJEPOVIC</t>
  </si>
  <si>
    <t>KATUMA</t>
  </si>
  <si>
    <t>COULIBALY</t>
  </si>
  <si>
    <t>PONTISSO</t>
  </si>
  <si>
    <t>TRAORE' HJ</t>
  </si>
  <si>
    <t>ROSSI A</t>
  </si>
  <si>
    <t>MICIN</t>
  </si>
  <si>
    <t>DAMASCAN</t>
  </si>
  <si>
    <t>ODGAARD</t>
  </si>
  <si>
    <t>CALAIO'</t>
  </si>
  <si>
    <t>SPROCATI</t>
  </si>
  <si>
    <t>COLIDIO</t>
  </si>
  <si>
    <t>GRAICIAR</t>
  </si>
  <si>
    <t>VLAHOVIC</t>
  </si>
  <si>
    <t>JAKUPOVIC</t>
  </si>
  <si>
    <t>BAGHERIA</t>
  </si>
  <si>
    <t>BRAZAO</t>
  </si>
  <si>
    <t>BURRUCHAGA</t>
  </si>
  <si>
    <t>CAN</t>
  </si>
  <si>
    <t>CEDRIC SOARES</t>
  </si>
  <si>
    <t>DALMONTE</t>
  </si>
  <si>
    <t>DEMIRAL</t>
  </si>
  <si>
    <t>DESPODOV</t>
  </si>
  <si>
    <t>DIAKHATE</t>
  </si>
  <si>
    <t>DIOUSSE'</t>
  </si>
  <si>
    <t>GABBIADINI</t>
  </si>
  <si>
    <t>IBANEZ</t>
  </si>
  <si>
    <t>JANDREI</t>
  </si>
  <si>
    <t>JANKOVIC</t>
  </si>
  <si>
    <t>KUCKA</t>
  </si>
  <si>
    <t>LERAGER</t>
  </si>
  <si>
    <t>MACHIN</t>
  </si>
  <si>
    <t>MURIEL</t>
  </si>
  <si>
    <t>NIKOLAOU</t>
  </si>
  <si>
    <t>OBERLIN</t>
  </si>
  <si>
    <t>OKAKA</t>
  </si>
  <si>
    <t>OLIVA</t>
  </si>
  <si>
    <t>PAQUETA'</t>
  </si>
  <si>
    <t>PERISAN</t>
  </si>
  <si>
    <t>PERUCCHINI</t>
  </si>
  <si>
    <t>PIAZON</t>
  </si>
  <si>
    <t>ROMERO C</t>
  </si>
  <si>
    <t>SAMMARCO</t>
  </si>
  <si>
    <t>SANABRIA</t>
  </si>
  <si>
    <t>SANSONE N</t>
  </si>
  <si>
    <t>SCHELOTTO</t>
  </si>
  <si>
    <t>SCHIAPPACASSE</t>
  </si>
  <si>
    <t>SIERRALTA</t>
  </si>
  <si>
    <t>WILMOT</t>
  </si>
  <si>
    <t>ZEEGELAAR</t>
  </si>
  <si>
    <t>BAUMGARTNER</t>
  </si>
  <si>
    <t>BRIGNANI</t>
  </si>
  <si>
    <t>CALIGARA</t>
  </si>
  <si>
    <t>CIOFANI M</t>
  </si>
  <si>
    <t>COLOMBATTO</t>
  </si>
  <si>
    <t>DINI</t>
  </si>
  <si>
    <t>EMMERS</t>
  </si>
  <si>
    <t>FRATTESI</t>
  </si>
  <si>
    <t>GALANO</t>
  </si>
  <si>
    <t>IMPERIALE</t>
  </si>
  <si>
    <t>KINGSLEY</t>
  </si>
  <si>
    <t>KONE'</t>
  </si>
  <si>
    <t>SCAVONE</t>
  </si>
  <si>
    <t>TERRANOVA</t>
  </si>
  <si>
    <t>VERGARA</t>
  </si>
  <si>
    <t>ZANIMACCHIA</t>
  </si>
  <si>
    <t>+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</si>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</sst>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&quot; &quot;[$€-407];[Red]&quot;-&quot;#,##0.00&quot; &quot;[$€-407]"/>
  </numFmts>
  <fonts count="16" x14ac:knownFonts="1">
    <font>
      <sz val="11"/>
      <color rgb="FF000000"/>
      <name val="Arial"/>
      <family val="2"/>
    </font>
    <font>
      <b/>
      <i/>
      <sz val="16"/>
      <color rgb="FF000000"/>
      <name val="Arial"/>
      <family val="2"/>
    </font>
    <font>
      <b/>
      <i/>
      <u/>
      <sz val="11"/>
      <color rgb="FF000000"/>
      <name val="Arial"/>
      <family val="2"/>
    </font>
    <font>
      <b/>
      <sz val="15"/>
      <color rgb="FF44546A"/>
      <name val="Calibri"/>
      <family val="2"/>
    </font>
    <font>
      <b/>
      <u/>
      <sz val="12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8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u/>
      <sz val="10"/>
      <color rgb="FF000000"/>
      <name val="Arial"/>
      <family val="2"/>
    </font>
    <font>
      <sz val="12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</font>
    <font>
      <strike/>
      <sz val="11"/>
      <color rgb="FF000000"/>
      <name val="Arial"/>
      <family val="2"/>
    </font>
    <font>
      <b/>
      <strike/>
      <u/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0FFFF"/>
        <bgColor rgb="FF00FFFF"/>
      </patternFill>
    </fill>
    <fill>
      <patternFill patternType="solid">
        <fgColor rgb="FF66FF99"/>
        <bgColor rgb="FF66FF99"/>
      </patternFill>
    </fill>
    <fill>
      <patternFill patternType="solid">
        <fgColor rgb="FFCFE7F5"/>
        <bgColor rgb="FFCFE7F5"/>
      </patternFill>
    </fill>
    <fill>
      <patternFill patternType="solid">
        <fgColor rgb="FFFFFF99"/>
        <bgColor rgb="FFFFFF99"/>
      </patternFill>
    </fill>
    <fill>
      <patternFill patternType="solid">
        <fgColor rgb="FFFFC000"/>
        <bgColor rgb="FFFFC000"/>
      </patternFill>
    </fill>
    <fill>
      <patternFill patternType="solid">
        <fgColor rgb="FFACB9CA"/>
        <bgColor rgb="FFACB9C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rgb="FF4472C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thick">
        <color rgb="FF4472C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ck">
        <color rgb="FF4472C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ck">
        <color rgb="FF4472C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rgb="FF000000"/>
      </right>
      <top style="thin">
        <color indexed="64"/>
      </top>
      <bottom/>
      <diagonal/>
    </border>
    <border>
      <left style="thin">
        <color indexed="64"/>
      </left>
      <right style="medium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 style="thin">
        <color indexed="64"/>
      </left>
      <right style="medium">
        <color indexed="64"/>
      </right>
      <top style="medium">
        <color rgb="FF000000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3" fillId="0" borderId="1" applyNumberFormat="0" applyFill="0" applyAlignment="0" applyProtection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4" fontId="2" fillId="0" borderId="0" applyBorder="0" applyProtection="0"/>
    <xf numFmtId="0" fontId="13" fillId="0" borderId="0"/>
  </cellStyleXfs>
  <cellXfs count="126">
    <xf numFmtId="0" fontId="0" fillId="0" borderId="0" xfId="0"/>
    <xf numFmtId="0" fontId="4" fillId="0" borderId="0" xfId="0" applyFont="1"/>
    <xf numFmtId="0" fontId="5" fillId="0" borderId="0" xfId="0" applyFont="1"/>
    <xf numFmtId="0" fontId="0" fillId="0" borderId="3" xfId="0" applyBorder="1"/>
    <xf numFmtId="0" fontId="3" fillId="0" borderId="4" xfId="1" applyFont="1" applyBorder="1"/>
    <xf numFmtId="0" fontId="5" fillId="0" borderId="3" xfId="0" applyFont="1" applyBorder="1"/>
    <xf numFmtId="0" fontId="0" fillId="4" borderId="3" xfId="0" applyFill="1" applyBorder="1"/>
    <xf numFmtId="0" fontId="6" fillId="0" borderId="0" xfId="0" applyFont="1"/>
    <xf numFmtId="0" fontId="6" fillId="7" borderId="2" xfId="0" applyFont="1" applyFill="1" applyBorder="1"/>
    <xf numFmtId="0" fontId="7" fillId="0" borderId="0" xfId="0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5" fillId="0" borderId="0" xfId="0" applyFont="1" applyBorder="1" applyAlignment="1">
      <alignment horizontal="left"/>
    </xf>
    <xf numFmtId="0" fontId="6" fillId="7" borderId="6" xfId="0" applyFont="1" applyFill="1" applyBorder="1" applyAlignment="1">
      <alignment horizontal="left"/>
    </xf>
    <xf numFmtId="0" fontId="0" fillId="0" borderId="9" xfId="0" applyBorder="1" applyAlignment="1">
      <alignment horizontal="left"/>
    </xf>
    <xf numFmtId="0" fontId="5" fillId="0" borderId="9" xfId="0" applyFont="1" applyBorder="1" applyAlignment="1">
      <alignment horizontal="left"/>
    </xf>
    <xf numFmtId="0" fontId="6" fillId="7" borderId="8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4" fillId="2" borderId="11" xfId="0" applyFont="1" applyFill="1" applyBorder="1"/>
    <xf numFmtId="0" fontId="4" fillId="2" borderId="12" xfId="0" applyFont="1" applyFill="1" applyBorder="1" applyAlignment="1">
      <alignment horizontal="left"/>
    </xf>
    <xf numFmtId="0" fontId="3" fillId="0" borderId="15" xfId="1" applyFont="1" applyBorder="1"/>
    <xf numFmtId="0" fontId="5" fillId="0" borderId="16" xfId="0" applyFont="1" applyBorder="1"/>
    <xf numFmtId="0" fontId="0" fillId="4" borderId="16" xfId="0" applyFill="1" applyBorder="1"/>
    <xf numFmtId="0" fontId="8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0" fillId="3" borderId="3" xfId="0" applyFont="1" applyFill="1" applyBorder="1"/>
    <xf numFmtId="0" fontId="0" fillId="0" borderId="0" xfId="0" applyFont="1" applyBorder="1" applyAlignment="1">
      <alignment horizontal="left"/>
    </xf>
    <xf numFmtId="0" fontId="0" fillId="3" borderId="16" xfId="0" applyFont="1" applyFill="1" applyBorder="1"/>
    <xf numFmtId="0" fontId="0" fillId="0" borderId="0" xfId="0" applyFont="1"/>
    <xf numFmtId="0" fontId="0" fillId="3" borderId="19" xfId="0" applyFont="1" applyFill="1" applyBorder="1"/>
    <xf numFmtId="0" fontId="9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0" fillId="10" borderId="9" xfId="0" applyFill="1" applyBorder="1" applyAlignment="1">
      <alignment horizontal="left"/>
    </xf>
    <xf numFmtId="0" fontId="11" fillId="0" borderId="0" xfId="0" applyFont="1" applyAlignment="1">
      <alignment horizontal="left"/>
    </xf>
    <xf numFmtId="0" fontId="11" fillId="8" borderId="5" xfId="0" applyFont="1" applyFill="1" applyBorder="1"/>
    <xf numFmtId="0" fontId="11" fillId="8" borderId="7" xfId="0" applyFont="1" applyFill="1" applyBorder="1" applyAlignment="1">
      <alignment horizontal="left"/>
    </xf>
    <xf numFmtId="0" fontId="11" fillId="8" borderId="10" xfId="0" applyFont="1" applyFill="1" applyBorder="1" applyAlignment="1">
      <alignment horizontal="left"/>
    </xf>
    <xf numFmtId="0" fontId="11" fillId="0" borderId="0" xfId="0" applyFont="1"/>
    <xf numFmtId="0" fontId="0" fillId="11" borderId="9" xfId="0" quotePrefix="1" applyFont="1" applyFill="1" applyBorder="1" applyAlignment="1">
      <alignment horizontal="center"/>
    </xf>
    <xf numFmtId="0" fontId="5" fillId="0" borderId="17" xfId="0" applyFont="1" applyBorder="1"/>
    <xf numFmtId="0" fontId="5" fillId="0" borderId="18" xfId="0" applyFont="1" applyBorder="1" applyAlignment="1">
      <alignment horizontal="left"/>
    </xf>
    <xf numFmtId="0" fontId="0" fillId="9" borderId="9" xfId="0" applyFont="1" applyFill="1" applyBorder="1" applyAlignment="1">
      <alignment horizontal="left"/>
    </xf>
    <xf numFmtId="0" fontId="0" fillId="3" borderId="20" xfId="0" applyFont="1" applyFill="1" applyBorder="1"/>
    <xf numFmtId="0" fontId="0" fillId="4" borderId="3" xfId="0" applyFont="1" applyFill="1" applyBorder="1"/>
    <xf numFmtId="0" fontId="0" fillId="4" borderId="16" xfId="0" applyFont="1" applyFill="1" applyBorder="1"/>
    <xf numFmtId="0" fontId="0" fillId="5" borderId="3" xfId="0" applyFont="1" applyFill="1" applyBorder="1"/>
    <xf numFmtId="0" fontId="0" fillId="5" borderId="16" xfId="0" applyFont="1" applyFill="1" applyBorder="1"/>
    <xf numFmtId="0" fontId="0" fillId="6" borderId="3" xfId="0" applyFont="1" applyFill="1" applyBorder="1"/>
    <xf numFmtId="0" fontId="0" fillId="6" borderId="16" xfId="0" applyFont="1" applyFill="1" applyBorder="1"/>
    <xf numFmtId="0" fontId="12" fillId="0" borderId="21" xfId="0" applyNumberFormat="1" applyFont="1" applyBorder="1"/>
    <xf numFmtId="0" fontId="0" fillId="0" borderId="0" xfId="0" applyNumberFormat="1" applyFont="1"/>
    <xf numFmtId="0" fontId="0" fillId="0" borderId="0" xfId="0" applyBorder="1"/>
    <xf numFmtId="0" fontId="3" fillId="0" borderId="1" xfId="1" applyFont="1" applyBorder="1"/>
    <xf numFmtId="0" fontId="4" fillId="2" borderId="22" xfId="0" applyFont="1" applyFill="1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6" xfId="0" applyBorder="1"/>
    <xf numFmtId="0" fontId="5" fillId="0" borderId="23" xfId="0" applyFont="1" applyBorder="1" applyAlignment="1">
      <alignment horizontal="left"/>
    </xf>
    <xf numFmtId="0" fontId="7" fillId="8" borderId="24" xfId="0" applyFont="1" applyFill="1" applyBorder="1" applyAlignment="1">
      <alignment horizontal="left"/>
    </xf>
    <xf numFmtId="0" fontId="6" fillId="7" borderId="13" xfId="0" applyFont="1" applyFill="1" applyBorder="1"/>
    <xf numFmtId="0" fontId="6" fillId="7" borderId="22" xfId="0" applyFont="1" applyFill="1" applyBorder="1" applyAlignment="1">
      <alignment horizontal="left"/>
    </xf>
    <xf numFmtId="0" fontId="7" fillId="8" borderId="17" xfId="0" applyFont="1" applyFill="1" applyBorder="1"/>
    <xf numFmtId="0" fontId="3" fillId="0" borderId="25" xfId="1" applyFont="1" applyBorder="1"/>
    <xf numFmtId="0" fontId="0" fillId="0" borderId="6" xfId="0" applyBorder="1" applyAlignment="1">
      <alignment horizontal="left"/>
    </xf>
    <xf numFmtId="0" fontId="4" fillId="2" borderId="26" xfId="0" applyFont="1" applyFill="1" applyBorder="1" applyAlignment="1">
      <alignment horizontal="left"/>
    </xf>
    <xf numFmtId="0" fontId="0" fillId="0" borderId="27" xfId="0" applyBorder="1" applyAlignment="1">
      <alignment horizontal="left"/>
    </xf>
    <xf numFmtId="0" fontId="0" fillId="11" borderId="27" xfId="0" quotePrefix="1" applyFont="1" applyFill="1" applyBorder="1" applyAlignment="1">
      <alignment horizontal="center"/>
    </xf>
    <xf numFmtId="0" fontId="0" fillId="9" borderId="27" xfId="0" applyFont="1" applyFill="1" applyBorder="1" applyAlignment="1">
      <alignment horizontal="left"/>
    </xf>
    <xf numFmtId="0" fontId="5" fillId="0" borderId="27" xfId="0" applyFont="1" applyBorder="1" applyAlignment="1">
      <alignment horizontal="left"/>
    </xf>
    <xf numFmtId="0" fontId="0" fillId="10" borderId="27" xfId="0" applyFill="1" applyBorder="1" applyAlignment="1">
      <alignment horizontal="left"/>
    </xf>
    <xf numFmtId="0" fontId="5" fillId="0" borderId="28" xfId="0" applyFont="1" applyBorder="1" applyAlignment="1">
      <alignment horizontal="left"/>
    </xf>
    <xf numFmtId="0" fontId="6" fillId="7" borderId="14" xfId="0" applyFont="1" applyFill="1" applyBorder="1" applyAlignment="1">
      <alignment horizontal="left"/>
    </xf>
    <xf numFmtId="0" fontId="6" fillId="7" borderId="29" xfId="0" applyFont="1" applyFill="1" applyBorder="1" applyAlignment="1">
      <alignment horizontal="left"/>
    </xf>
    <xf numFmtId="0" fontId="0" fillId="0" borderId="0" xfId="0" applyNumberFormat="1" applyFont="1" applyAlignment="1">
      <alignment horizontal="center"/>
    </xf>
    <xf numFmtId="0" fontId="11" fillId="8" borderId="17" xfId="0" applyFont="1" applyFill="1" applyBorder="1"/>
    <xf numFmtId="0" fontId="11" fillId="8" borderId="18" xfId="0" applyFont="1" applyFill="1" applyBorder="1" applyAlignment="1">
      <alignment horizontal="left"/>
    </xf>
    <xf numFmtId="0" fontId="11" fillId="8" borderId="28" xfId="0" applyFont="1" applyFill="1" applyBorder="1" applyAlignment="1">
      <alignment horizontal="left"/>
    </xf>
    <xf numFmtId="0" fontId="4" fillId="2" borderId="13" xfId="0" applyFont="1" applyFill="1" applyBorder="1"/>
    <xf numFmtId="0" fontId="8" fillId="3" borderId="16" xfId="0" applyFont="1" applyFill="1" applyBorder="1"/>
    <xf numFmtId="0" fontId="8" fillId="4" borderId="16" xfId="0" applyFont="1" applyFill="1" applyBorder="1"/>
    <xf numFmtId="0" fontId="0" fillId="5" borderId="16" xfId="0" applyFill="1" applyBorder="1"/>
    <xf numFmtId="0" fontId="0" fillId="6" borderId="16" xfId="0" applyFill="1" applyBorder="1"/>
    <xf numFmtId="0" fontId="0" fillId="3" borderId="30" xfId="0" applyFont="1" applyFill="1" applyBorder="1"/>
    <xf numFmtId="0" fontId="0" fillId="0" borderId="31" xfId="0" applyFont="1" applyBorder="1" applyAlignment="1">
      <alignment horizontal="left"/>
    </xf>
    <xf numFmtId="0" fontId="0" fillId="9" borderId="32" xfId="0" applyFont="1" applyFill="1" applyBorder="1" applyAlignment="1">
      <alignment horizontal="left"/>
    </xf>
    <xf numFmtId="0" fontId="0" fillId="9" borderId="33" xfId="0" applyFont="1" applyFill="1" applyBorder="1" applyAlignment="1">
      <alignment horizontal="left"/>
    </xf>
    <xf numFmtId="0" fontId="0" fillId="4" borderId="30" xfId="0" applyFill="1" applyBorder="1"/>
    <xf numFmtId="0" fontId="0" fillId="0" borderId="31" xfId="0" applyBorder="1" applyAlignment="1">
      <alignment horizontal="left"/>
    </xf>
    <xf numFmtId="0" fontId="0" fillId="5" borderId="30" xfId="0" applyFont="1" applyFill="1" applyBorder="1"/>
    <xf numFmtId="0" fontId="0" fillId="6" borderId="30" xfId="0" applyFont="1" applyFill="1" applyBorder="1"/>
    <xf numFmtId="0" fontId="0" fillId="10" borderId="32" xfId="0" applyFill="1" applyBorder="1" applyAlignment="1">
      <alignment horizontal="left"/>
    </xf>
    <xf numFmtId="0" fontId="0" fillId="9" borderId="34" xfId="0" applyFont="1" applyFill="1" applyBorder="1" applyAlignment="1">
      <alignment horizontal="left"/>
    </xf>
    <xf numFmtId="0" fontId="0" fillId="10" borderId="34" xfId="0" applyFill="1" applyBorder="1" applyAlignment="1">
      <alignment horizontal="left"/>
    </xf>
    <xf numFmtId="0" fontId="0" fillId="3" borderId="35" xfId="0" applyFont="1" applyFill="1" applyBorder="1"/>
    <xf numFmtId="0" fontId="0" fillId="9" borderId="36" xfId="0" applyFont="1" applyFill="1" applyBorder="1" applyAlignment="1">
      <alignment horizontal="left"/>
    </xf>
    <xf numFmtId="0" fontId="0" fillId="4" borderId="35" xfId="0" applyFill="1" applyBorder="1"/>
    <xf numFmtId="0" fontId="0" fillId="5" borderId="35" xfId="0" applyFont="1" applyFill="1" applyBorder="1"/>
    <xf numFmtId="0" fontId="0" fillId="6" borderId="35" xfId="0" applyFont="1" applyFill="1" applyBorder="1"/>
    <xf numFmtId="0" fontId="0" fillId="10" borderId="36" xfId="0" applyFill="1" applyBorder="1" applyAlignment="1">
      <alignment horizontal="left"/>
    </xf>
    <xf numFmtId="0" fontId="13" fillId="0" borderId="0" xfId="6" applyNumberFormat="1" applyFont="1"/>
    <xf numFmtId="0" fontId="6" fillId="7" borderId="37" xfId="0" applyFont="1" applyFill="1" applyBorder="1"/>
    <xf numFmtId="0" fontId="6" fillId="7" borderId="38" xfId="0" applyFont="1" applyFill="1" applyBorder="1" applyAlignment="1">
      <alignment horizontal="left"/>
    </xf>
    <xf numFmtId="0" fontId="14" fillId="3" borderId="3" xfId="0" applyFont="1" applyFill="1" applyBorder="1"/>
    <xf numFmtId="0" fontId="14" fillId="6" borderId="3" xfId="0" applyFont="1" applyFill="1" applyBorder="1"/>
    <xf numFmtId="0" fontId="14" fillId="4" borderId="3" xfId="0" applyFont="1" applyFill="1" applyBorder="1"/>
    <xf numFmtId="0" fontId="0" fillId="5" borderId="19" xfId="0" applyFont="1" applyFill="1" applyBorder="1"/>
    <xf numFmtId="0" fontId="14" fillId="3" borderId="19" xfId="0" applyFont="1" applyFill="1" applyBorder="1"/>
    <xf numFmtId="0" fontId="14" fillId="5" borderId="3" xfId="0" applyFont="1" applyFill="1" applyBorder="1"/>
    <xf numFmtId="0" fontId="14" fillId="6" borderId="16" xfId="0" applyFont="1" applyFill="1" applyBorder="1"/>
    <xf numFmtId="0" fontId="14" fillId="4" borderId="16" xfId="0" applyFont="1" applyFill="1" applyBorder="1"/>
    <xf numFmtId="0" fontId="14" fillId="6" borderId="30" xfId="0" applyFont="1" applyFill="1" applyBorder="1"/>
    <xf numFmtId="0" fontId="5" fillId="0" borderId="39" xfId="0" applyFont="1" applyBorder="1" applyAlignment="1">
      <alignment horizontal="left"/>
    </xf>
    <xf numFmtId="0" fontId="3" fillId="12" borderId="1" xfId="1" quotePrefix="1" applyFont="1" applyFill="1" applyBorder="1" applyAlignment="1">
      <alignment horizontal="center"/>
    </xf>
    <xf numFmtId="0" fontId="6" fillId="0" borderId="2" xfId="0" applyFont="1" applyFill="1" applyBorder="1"/>
    <xf numFmtId="0" fontId="11" fillId="0" borderId="5" xfId="0" applyFont="1" applyFill="1" applyBorder="1"/>
    <xf numFmtId="0" fontId="11" fillId="0" borderId="7" xfId="0" applyFont="1" applyFill="1" applyBorder="1" applyAlignment="1">
      <alignment horizontal="left"/>
    </xf>
    <xf numFmtId="0" fontId="11" fillId="0" borderId="17" xfId="0" applyFont="1" applyFill="1" applyBorder="1"/>
    <xf numFmtId="0" fontId="11" fillId="0" borderId="18" xfId="0" applyFont="1" applyFill="1" applyBorder="1" applyAlignment="1">
      <alignment horizontal="left"/>
    </xf>
    <xf numFmtId="0" fontId="14" fillId="5" borderId="16" xfId="0" applyFont="1" applyFill="1" applyBorder="1"/>
    <xf numFmtId="0" fontId="14" fillId="3" borderId="20" xfId="0" applyFont="1" applyFill="1" applyBorder="1"/>
    <xf numFmtId="0" fontId="14" fillId="5" borderId="19" xfId="0" applyFont="1" applyFill="1" applyBorder="1"/>
    <xf numFmtId="0" fontId="14" fillId="3" borderId="16" xfId="0" applyFont="1" applyFill="1" applyBorder="1"/>
    <xf numFmtId="0" fontId="15" fillId="2" borderId="12" xfId="0" applyFont="1" applyFill="1" applyBorder="1" applyAlignment="1">
      <alignment horizontal="left"/>
    </xf>
    <xf numFmtId="0" fontId="14" fillId="10" borderId="9" xfId="0" applyFont="1" applyFill="1" applyBorder="1" applyAlignment="1">
      <alignment horizontal="left"/>
    </xf>
    <xf numFmtId="0" fontId="6" fillId="0" borderId="16" xfId="0" applyFont="1" applyFill="1" applyBorder="1"/>
    <xf numFmtId="0" fontId="6" fillId="7" borderId="0" xfId="0" applyFont="1" applyFill="1" applyBorder="1" applyAlignment="1">
      <alignment horizontal="left"/>
    </xf>
    <xf numFmtId="0" fontId="6" fillId="7" borderId="27" xfId="0" applyFont="1" applyFill="1" applyBorder="1" applyAlignment="1">
      <alignment horizontal="left"/>
    </xf>
  </cellXfs>
  <cellStyles count="7">
    <cellStyle name="Heading" xfId="2" xr:uid="{00000000-0005-0000-0000-000000000000}"/>
    <cellStyle name="Heading 1" xfId="1" builtinId="16" customBuiltin="1"/>
    <cellStyle name="Heading1" xfId="3" xr:uid="{00000000-0005-0000-0000-000001000000}"/>
    <cellStyle name="Normal" xfId="0" builtinId="0" customBuiltin="1"/>
    <cellStyle name="Normale 2" xfId="6" xr:uid="{00000000-0005-0000-0000-000033000000}"/>
    <cellStyle name="Result" xfId="4" xr:uid="{00000000-0005-0000-0000-000003000000}"/>
    <cellStyle name="Result2" xfId="5" xr:uid="{00000000-0005-0000-0000-000004000000}"/>
  </cellStyles>
  <dxfs count="10"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1</xdr:row>
          <xdr:rowOff>167640</xdr:rowOff>
        </xdr:to>
        <xdr:sp macro="" textlink="">
          <xdr:nvSpPr>
            <xdr:cNvPr id="3080" name="PlayersCombo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1</xdr:row>
          <xdr:rowOff>160020</xdr:rowOff>
        </xdr:to>
        <xdr:sp macro="" textlink="">
          <xdr:nvSpPr>
            <xdr:cNvPr id="5122" name="PlayersCombo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320040</xdr:colOff>
          <xdr:row>13</xdr:row>
          <xdr:rowOff>53340</xdr:rowOff>
        </xdr:from>
        <xdr:to>
          <xdr:col>32</xdr:col>
          <xdr:colOff>487680</xdr:colOff>
          <xdr:row>14</xdr:row>
          <xdr:rowOff>121920</xdr:rowOff>
        </xdr:to>
        <xdr:sp macro="" textlink="">
          <xdr:nvSpPr>
            <xdr:cNvPr id="8193" name="Pulsante 4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Movimenti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1</xdr:row>
          <xdr:rowOff>160020</xdr:rowOff>
        </xdr:to>
        <xdr:sp macro="" textlink="">
          <xdr:nvSpPr>
            <xdr:cNvPr id="8194" name="PlayersCombo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doardo\Alma%20Mater%20Studiorum%20Universit&#224;%20di%20Bologna\OneDrive%20-%20Alma%20Mater%20Studiorum%20Universit&#224;%20di%20Bologna\Fantagalleague\2018-2019\Fantagalli_GUI_18-19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YER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U38"/>
  <sheetViews>
    <sheetView tabSelected="1" zoomScale="60" zoomScaleNormal="60" workbookViewId="0">
      <pane ySplit="1" topLeftCell="A2" activePane="bottomLeft" state="frozen"/>
      <selection pane="bottomLeft" activeCell="F1" sqref="F1"/>
    </sheetView>
  </sheetViews>
  <sheetFormatPr defaultRowHeight="13.8" x14ac:dyDescent="0.25"/>
  <cols>
    <col min="1" max="1" width="7.796875" bestFit="1" customWidth="1"/>
    <col min="2" max="2" width="18.296875" bestFit="1" customWidth="1"/>
    <col min="3" max="3" width="4.8984375" style="10" bestFit="1" customWidth="1"/>
    <col min="4" max="4" width="19.09765625" bestFit="1" customWidth="1"/>
    <col min="5" max="5" width="4.8984375" style="10" customWidth="1"/>
    <col min="6" max="6" width="14.59765625" bestFit="1" customWidth="1"/>
    <col min="7" max="7" width="4.8984375" style="10" bestFit="1" customWidth="1"/>
    <col min="8" max="8" width="11.5" bestFit="1" customWidth="1"/>
    <col min="9" max="9" width="4.8984375" style="10" bestFit="1" customWidth="1"/>
    <col min="10" max="10" width="11.5" bestFit="1" customWidth="1"/>
    <col min="11" max="11" width="4.8984375" style="10" bestFit="1" customWidth="1"/>
    <col min="12" max="12" width="11.5" bestFit="1" customWidth="1"/>
    <col min="13" max="13" width="4.8984375" style="10" bestFit="1" customWidth="1"/>
    <col min="14" max="14" width="11.5" bestFit="1" customWidth="1"/>
    <col min="15" max="15" width="4.8984375" style="10" bestFit="1" customWidth="1"/>
    <col min="16" max="16" width="11.5" bestFit="1" customWidth="1"/>
    <col min="17" max="17" width="4.8984375" style="10" bestFit="1" customWidth="1"/>
    <col min="18" max="18" width="11.5" bestFit="1" customWidth="1"/>
    <col min="19" max="19" width="4.8984375" style="10" bestFit="1" customWidth="1"/>
    <col min="20" max="20" width="11.5" bestFit="1" customWidth="1"/>
    <col min="21" max="21" width="4.8984375" style="10" bestFit="1" customWidth="1"/>
    <col min="22" max="1025" width="10.69921875" customWidth="1"/>
    <col min="1026" max="1026" width="9" customWidth="1"/>
  </cols>
  <sheetData>
    <row r="1" spans="1:21" s="1" customFormat="1" ht="15.6" x14ac:dyDescent="0.3">
      <c r="B1" s="76" t="s">
        <v>0</v>
      </c>
      <c r="C1" s="53"/>
      <c r="D1" s="76" t="s">
        <v>1</v>
      </c>
      <c r="E1" s="53"/>
      <c r="F1" s="76" t="s">
        <v>2</v>
      </c>
      <c r="G1" s="53"/>
      <c r="H1" s="76" t="s">
        <v>3</v>
      </c>
      <c r="I1" s="53"/>
      <c r="J1" s="76" t="s">
        <v>4</v>
      </c>
      <c r="K1" s="53"/>
      <c r="L1" s="76" t="s">
        <v>5</v>
      </c>
      <c r="M1" s="53"/>
      <c r="N1" s="76" t="s">
        <v>6</v>
      </c>
      <c r="O1" s="53"/>
      <c r="P1" s="76" t="s">
        <v>7</v>
      </c>
      <c r="Q1" s="53"/>
      <c r="R1" s="76" t="s">
        <v>467</v>
      </c>
      <c r="S1" s="53"/>
      <c r="T1" s="76" t="s">
        <v>468</v>
      </c>
      <c r="U1" s="53"/>
    </row>
    <row r="2" spans="1:21" x14ac:dyDescent="0.25">
      <c r="A2" s="2" t="s">
        <v>13</v>
      </c>
      <c r="B2" s="55"/>
      <c r="C2" s="54">
        <v>300</v>
      </c>
      <c r="D2" s="55"/>
      <c r="E2" s="54">
        <f>C2</f>
        <v>300</v>
      </c>
      <c r="F2" s="55"/>
      <c r="G2" s="54">
        <f>U2</f>
        <v>300</v>
      </c>
      <c r="H2" s="55"/>
      <c r="I2" s="54">
        <f>G2</f>
        <v>300</v>
      </c>
      <c r="J2" s="55"/>
      <c r="K2" s="54">
        <f>I2</f>
        <v>300</v>
      </c>
      <c r="L2" s="55"/>
      <c r="M2" s="54">
        <f>K2</f>
        <v>300</v>
      </c>
      <c r="N2" s="55"/>
      <c r="O2" s="54">
        <f>M2</f>
        <v>300</v>
      </c>
      <c r="P2" s="55"/>
      <c r="Q2" s="54">
        <f>O2</f>
        <v>300</v>
      </c>
      <c r="R2" s="55"/>
      <c r="S2" s="54">
        <f>Q2</f>
        <v>300</v>
      </c>
      <c r="T2" s="55"/>
      <c r="U2" s="54">
        <f>E2</f>
        <v>300</v>
      </c>
    </row>
    <row r="3" spans="1:21" ht="20.399999999999999" thickBot="1" x14ac:dyDescent="0.45">
      <c r="B3" s="20" t="s">
        <v>8</v>
      </c>
      <c r="C3" s="61"/>
      <c r="D3" s="20" t="s">
        <v>8</v>
      </c>
      <c r="E3" s="61"/>
      <c r="F3" s="20" t="s">
        <v>8</v>
      </c>
      <c r="G3" s="61"/>
      <c r="H3" s="20" t="s">
        <v>8</v>
      </c>
      <c r="I3" s="61"/>
      <c r="J3" s="20" t="s">
        <v>8</v>
      </c>
      <c r="K3" s="61"/>
      <c r="L3" s="20" t="s">
        <v>8</v>
      </c>
      <c r="M3" s="61"/>
      <c r="N3" s="20" t="s">
        <v>8</v>
      </c>
      <c r="O3" s="61"/>
      <c r="P3" s="20" t="s">
        <v>8</v>
      </c>
      <c r="Q3" s="61"/>
      <c r="R3" s="20" t="s">
        <v>8</v>
      </c>
      <c r="S3" s="61"/>
      <c r="T3" s="20" t="s">
        <v>8</v>
      </c>
      <c r="U3" s="61"/>
    </row>
    <row r="4" spans="1:21" ht="14.4" thickTop="1" x14ac:dyDescent="0.25">
      <c r="A4" s="10">
        <v>1</v>
      </c>
      <c r="B4" s="77" t="s">
        <v>307</v>
      </c>
      <c r="C4" s="54">
        <v>16</v>
      </c>
      <c r="D4" s="77" t="s">
        <v>107</v>
      </c>
      <c r="E4" s="54">
        <v>5</v>
      </c>
      <c r="F4" s="77" t="s">
        <v>501</v>
      </c>
      <c r="G4" s="54">
        <v>13</v>
      </c>
      <c r="H4" s="77"/>
      <c r="I4" s="54">
        <v>24</v>
      </c>
      <c r="J4" s="77"/>
      <c r="K4" s="54">
        <v>26</v>
      </c>
      <c r="L4" s="77"/>
      <c r="M4" s="54">
        <v>2</v>
      </c>
      <c r="N4" s="77"/>
      <c r="O4" s="54">
        <v>7</v>
      </c>
      <c r="P4" s="77"/>
      <c r="Q4" s="54">
        <v>7</v>
      </c>
      <c r="R4" s="77"/>
      <c r="S4" s="54">
        <v>7</v>
      </c>
      <c r="T4" s="77"/>
      <c r="U4" s="54">
        <v>20</v>
      </c>
    </row>
    <row r="5" spans="1:21" x14ac:dyDescent="0.25">
      <c r="A5" s="10">
        <v>2</v>
      </c>
      <c r="B5" s="77" t="s">
        <v>607</v>
      </c>
      <c r="C5" s="54">
        <v>1</v>
      </c>
      <c r="D5" s="77" t="s">
        <v>185</v>
      </c>
      <c r="E5" s="54">
        <v>7</v>
      </c>
      <c r="F5" s="77" t="s">
        <v>616</v>
      </c>
      <c r="G5" s="54">
        <v>4</v>
      </c>
      <c r="H5" s="77"/>
      <c r="I5" s="54">
        <v>1</v>
      </c>
      <c r="J5" s="77"/>
      <c r="K5" s="54">
        <v>1</v>
      </c>
      <c r="L5" s="77"/>
      <c r="M5" s="54">
        <v>4</v>
      </c>
      <c r="N5" s="77"/>
      <c r="O5" s="54">
        <v>19</v>
      </c>
      <c r="P5" s="77"/>
      <c r="Q5" s="54">
        <v>8</v>
      </c>
      <c r="R5" s="77"/>
      <c r="S5" s="54">
        <v>10</v>
      </c>
      <c r="T5" s="77"/>
      <c r="U5" s="54">
        <v>1</v>
      </c>
    </row>
    <row r="6" spans="1:21" x14ac:dyDescent="0.25">
      <c r="A6" s="10">
        <v>3</v>
      </c>
      <c r="B6" s="77" t="s">
        <v>36</v>
      </c>
      <c r="C6" s="54">
        <v>2</v>
      </c>
      <c r="D6" s="77" t="s">
        <v>486</v>
      </c>
      <c r="E6" s="54">
        <v>11</v>
      </c>
      <c r="F6" s="77" t="s">
        <v>144</v>
      </c>
      <c r="G6" s="54">
        <v>12</v>
      </c>
      <c r="H6" s="77"/>
      <c r="I6" s="54">
        <v>1</v>
      </c>
      <c r="J6" s="77"/>
      <c r="K6" s="54">
        <v>1</v>
      </c>
      <c r="L6" s="77"/>
      <c r="M6" s="54">
        <v>1</v>
      </c>
      <c r="N6" s="77"/>
      <c r="O6" s="54">
        <v>1</v>
      </c>
      <c r="P6" s="77"/>
      <c r="Q6" s="54">
        <v>4</v>
      </c>
      <c r="R6" s="77"/>
      <c r="S6" s="54">
        <v>1</v>
      </c>
      <c r="T6" s="77"/>
      <c r="U6" s="54">
        <v>1</v>
      </c>
    </row>
    <row r="7" spans="1:21" s="2" customFormat="1" x14ac:dyDescent="0.25">
      <c r="A7" s="2" t="s">
        <v>14</v>
      </c>
      <c r="B7" s="21"/>
      <c r="C7" s="56">
        <f>SUM(C4:C6)</f>
        <v>19</v>
      </c>
      <c r="D7" s="21"/>
      <c r="E7" s="56">
        <f>SUM(E4:E6)</f>
        <v>23</v>
      </c>
      <c r="F7" s="21"/>
      <c r="G7" s="56">
        <f>SUM(G4:G6)</f>
        <v>29</v>
      </c>
      <c r="H7" s="21"/>
      <c r="I7" s="56">
        <f>SUM(I4:I6)</f>
        <v>26</v>
      </c>
      <c r="J7" s="21"/>
      <c r="K7" s="56">
        <f>SUM(K4:K6)</f>
        <v>28</v>
      </c>
      <c r="L7" s="21"/>
      <c r="M7" s="56">
        <f>SUM(M4:M6)</f>
        <v>7</v>
      </c>
      <c r="N7" s="21"/>
      <c r="O7" s="56">
        <f>SUM(O4:O6)</f>
        <v>27</v>
      </c>
      <c r="P7" s="21"/>
      <c r="Q7" s="56">
        <f>SUM(Q4:Q6)</f>
        <v>19</v>
      </c>
      <c r="R7" s="21"/>
      <c r="S7" s="56">
        <f>SUM(S4:S6)</f>
        <v>18</v>
      </c>
      <c r="T7" s="21"/>
      <c r="U7" s="56">
        <f>SUM(U4:U6)</f>
        <v>22</v>
      </c>
    </row>
    <row r="8" spans="1:21" s="2" customFormat="1" ht="20.399999999999999" thickBot="1" x14ac:dyDescent="0.45">
      <c r="B8" s="20" t="s">
        <v>9</v>
      </c>
      <c r="C8" s="61"/>
      <c r="D8" s="20" t="s">
        <v>9</v>
      </c>
      <c r="E8" s="61"/>
      <c r="F8" s="20" t="s">
        <v>9</v>
      </c>
      <c r="G8" s="61"/>
      <c r="H8" s="20" t="s">
        <v>9</v>
      </c>
      <c r="I8" s="61"/>
      <c r="J8" s="20" t="s">
        <v>9</v>
      </c>
      <c r="K8" s="61"/>
      <c r="L8" s="20" t="s">
        <v>9</v>
      </c>
      <c r="M8" s="61"/>
      <c r="N8" s="20" t="s">
        <v>9</v>
      </c>
      <c r="O8" s="61"/>
      <c r="P8" s="20" t="s">
        <v>9</v>
      </c>
      <c r="Q8" s="61"/>
      <c r="R8" s="20" t="s">
        <v>9</v>
      </c>
      <c r="S8" s="61"/>
      <c r="T8" s="20" t="s">
        <v>9</v>
      </c>
      <c r="U8" s="61"/>
    </row>
    <row r="9" spans="1:21" ht="14.4" thickTop="1" x14ac:dyDescent="0.25">
      <c r="A9" s="10">
        <v>1</v>
      </c>
      <c r="B9" s="78" t="s">
        <v>176</v>
      </c>
      <c r="C9" s="54">
        <v>17</v>
      </c>
      <c r="D9" s="78" t="s">
        <v>277</v>
      </c>
      <c r="E9" s="54">
        <v>22</v>
      </c>
      <c r="F9" s="78" t="s">
        <v>351</v>
      </c>
      <c r="G9" s="54">
        <v>4</v>
      </c>
      <c r="H9" s="78"/>
      <c r="I9" s="54">
        <v>1</v>
      </c>
      <c r="J9" s="78"/>
      <c r="K9" s="54">
        <v>21</v>
      </c>
      <c r="L9" s="78"/>
      <c r="M9" s="54">
        <v>13</v>
      </c>
      <c r="N9" s="78"/>
      <c r="O9" s="54">
        <v>9</v>
      </c>
      <c r="P9" s="78"/>
      <c r="Q9" s="54">
        <v>18</v>
      </c>
      <c r="R9" s="78"/>
      <c r="S9" s="54">
        <v>6</v>
      </c>
      <c r="T9" s="78"/>
      <c r="U9" s="54">
        <v>2</v>
      </c>
    </row>
    <row r="10" spans="1:21" x14ac:dyDescent="0.25">
      <c r="A10" s="10">
        <v>2</v>
      </c>
      <c r="B10" s="78" t="s">
        <v>42</v>
      </c>
      <c r="C10" s="54">
        <v>9</v>
      </c>
      <c r="D10" s="78" t="s">
        <v>195</v>
      </c>
      <c r="E10" s="54">
        <v>14</v>
      </c>
      <c r="F10" s="78" t="s">
        <v>203</v>
      </c>
      <c r="G10" s="54">
        <v>12</v>
      </c>
      <c r="H10" s="78"/>
      <c r="I10" s="54">
        <v>2</v>
      </c>
      <c r="J10" s="78"/>
      <c r="K10" s="54">
        <v>16</v>
      </c>
      <c r="L10" s="78"/>
      <c r="M10" s="54">
        <v>3</v>
      </c>
      <c r="N10" s="78"/>
      <c r="O10" s="54">
        <v>9</v>
      </c>
      <c r="P10" s="78"/>
      <c r="Q10" s="54">
        <v>7</v>
      </c>
      <c r="R10" s="78"/>
      <c r="S10" s="54">
        <v>10</v>
      </c>
      <c r="T10" s="78"/>
      <c r="U10" s="54">
        <v>16</v>
      </c>
    </row>
    <row r="11" spans="1:21" x14ac:dyDescent="0.25">
      <c r="A11" s="10">
        <v>3</v>
      </c>
      <c r="B11" s="78" t="s">
        <v>507</v>
      </c>
      <c r="C11" s="54">
        <v>6</v>
      </c>
      <c r="D11" s="78" t="s">
        <v>409</v>
      </c>
      <c r="E11" s="54">
        <v>5</v>
      </c>
      <c r="F11" s="78" t="s">
        <v>39</v>
      </c>
      <c r="G11" s="54">
        <v>8</v>
      </c>
      <c r="H11" s="78"/>
      <c r="I11" s="54">
        <v>1</v>
      </c>
      <c r="J11" s="78"/>
      <c r="K11" s="54">
        <v>2</v>
      </c>
      <c r="L11" s="78"/>
      <c r="M11" s="54">
        <v>1</v>
      </c>
      <c r="N11" s="78"/>
      <c r="O11" s="54">
        <v>19</v>
      </c>
      <c r="P11" s="78"/>
      <c r="Q11" s="54">
        <v>1</v>
      </c>
      <c r="R11" s="78"/>
      <c r="S11" s="54">
        <v>6</v>
      </c>
      <c r="T11" s="78"/>
      <c r="U11" s="54">
        <v>10</v>
      </c>
    </row>
    <row r="12" spans="1:21" x14ac:dyDescent="0.25">
      <c r="A12" s="10">
        <v>4</v>
      </c>
      <c r="B12" s="78" t="s">
        <v>248</v>
      </c>
      <c r="C12" s="54">
        <v>1</v>
      </c>
      <c r="D12" s="78" t="s">
        <v>291</v>
      </c>
      <c r="E12" s="54">
        <v>1</v>
      </c>
      <c r="F12" s="78" t="s">
        <v>158</v>
      </c>
      <c r="G12" s="54">
        <v>4</v>
      </c>
      <c r="H12" s="78"/>
      <c r="I12" s="54">
        <v>9</v>
      </c>
      <c r="J12" s="78"/>
      <c r="K12" s="54">
        <v>5</v>
      </c>
      <c r="L12" s="78"/>
      <c r="M12" s="54">
        <v>5</v>
      </c>
      <c r="N12" s="78"/>
      <c r="O12" s="54">
        <v>18</v>
      </c>
      <c r="P12" s="78"/>
      <c r="Q12" s="54">
        <v>1</v>
      </c>
      <c r="R12" s="78"/>
      <c r="S12" s="54">
        <v>9</v>
      </c>
      <c r="T12" s="78"/>
      <c r="U12" s="54">
        <v>1</v>
      </c>
    </row>
    <row r="13" spans="1:21" x14ac:dyDescent="0.25">
      <c r="A13" s="10">
        <v>5</v>
      </c>
      <c r="B13" s="78" t="s">
        <v>322</v>
      </c>
      <c r="C13" s="54">
        <v>1</v>
      </c>
      <c r="D13" s="78" t="s">
        <v>70</v>
      </c>
      <c r="E13" s="54">
        <v>2</v>
      </c>
      <c r="F13" s="78" t="s">
        <v>413</v>
      </c>
      <c r="G13" s="54">
        <v>1</v>
      </c>
      <c r="H13" s="78"/>
      <c r="I13" s="54">
        <v>4</v>
      </c>
      <c r="J13" s="78"/>
      <c r="K13" s="54">
        <v>2</v>
      </c>
      <c r="L13" s="78"/>
      <c r="M13" s="54">
        <v>2</v>
      </c>
      <c r="N13" s="78"/>
      <c r="O13" s="54">
        <v>4</v>
      </c>
      <c r="P13" s="78"/>
      <c r="Q13" s="54">
        <v>1</v>
      </c>
      <c r="R13" s="78"/>
      <c r="S13" s="54">
        <v>1</v>
      </c>
      <c r="T13" s="78"/>
      <c r="U13" s="54">
        <v>1</v>
      </c>
    </row>
    <row r="14" spans="1:21" x14ac:dyDescent="0.25">
      <c r="A14" s="10">
        <v>6</v>
      </c>
      <c r="B14" s="78" t="s">
        <v>337</v>
      </c>
      <c r="C14" s="54">
        <v>1</v>
      </c>
      <c r="D14" s="78" t="s">
        <v>363</v>
      </c>
      <c r="E14" s="54">
        <v>1</v>
      </c>
      <c r="F14" s="78" t="s">
        <v>175</v>
      </c>
      <c r="G14" s="54">
        <v>5</v>
      </c>
      <c r="H14" s="78"/>
      <c r="I14" s="54">
        <v>1</v>
      </c>
      <c r="J14" s="78"/>
      <c r="K14" s="54">
        <v>1</v>
      </c>
      <c r="L14" s="78"/>
      <c r="M14" s="54">
        <v>1</v>
      </c>
      <c r="N14" s="78"/>
      <c r="O14" s="54">
        <v>2</v>
      </c>
      <c r="P14" s="78"/>
      <c r="Q14" s="54">
        <v>1</v>
      </c>
      <c r="R14" s="78"/>
      <c r="S14" s="54">
        <v>1</v>
      </c>
      <c r="T14" s="78"/>
      <c r="U14" s="54">
        <v>1</v>
      </c>
    </row>
    <row r="15" spans="1:21" x14ac:dyDescent="0.25">
      <c r="A15" s="10">
        <v>7</v>
      </c>
      <c r="B15" s="78" t="s">
        <v>206</v>
      </c>
      <c r="C15" s="54">
        <v>1</v>
      </c>
      <c r="D15" s="78" t="s">
        <v>212</v>
      </c>
      <c r="E15" s="54">
        <v>1</v>
      </c>
      <c r="F15" s="78" t="s">
        <v>87</v>
      </c>
      <c r="G15" s="54">
        <v>1</v>
      </c>
      <c r="H15" s="78"/>
      <c r="I15" s="54">
        <v>3</v>
      </c>
      <c r="J15" s="78"/>
      <c r="K15" s="54">
        <v>3</v>
      </c>
      <c r="L15" s="78"/>
      <c r="M15" s="54">
        <v>2</v>
      </c>
      <c r="N15" s="78"/>
      <c r="O15" s="54">
        <v>3</v>
      </c>
      <c r="P15" s="78"/>
      <c r="Q15" s="54">
        <v>1</v>
      </c>
      <c r="R15" s="78"/>
      <c r="S15" s="54">
        <v>1</v>
      </c>
      <c r="T15" s="78"/>
      <c r="U15" s="54">
        <v>1</v>
      </c>
    </row>
    <row r="16" spans="1:21" x14ac:dyDescent="0.25">
      <c r="A16" s="10">
        <v>8</v>
      </c>
      <c r="B16" s="78" t="s">
        <v>348</v>
      </c>
      <c r="C16" s="54">
        <v>1</v>
      </c>
      <c r="D16" s="78" t="s">
        <v>121</v>
      </c>
      <c r="E16" s="54">
        <v>1</v>
      </c>
      <c r="F16" s="78" t="s">
        <v>372</v>
      </c>
      <c r="G16" s="54">
        <v>3</v>
      </c>
      <c r="H16" s="78"/>
      <c r="I16" s="54">
        <v>3</v>
      </c>
      <c r="J16" s="78"/>
      <c r="K16" s="54">
        <v>1</v>
      </c>
      <c r="L16" s="78"/>
      <c r="M16" s="54">
        <v>1</v>
      </c>
      <c r="N16" s="78"/>
      <c r="O16" s="54">
        <v>4</v>
      </c>
      <c r="P16" s="78"/>
      <c r="Q16" s="54">
        <v>1</v>
      </c>
      <c r="R16" s="78"/>
      <c r="S16" s="54">
        <v>1</v>
      </c>
      <c r="T16" s="78"/>
      <c r="U16" s="54">
        <v>1</v>
      </c>
    </row>
    <row r="17" spans="1:21" s="2" customFormat="1" x14ac:dyDescent="0.25">
      <c r="A17" s="17" t="s">
        <v>15</v>
      </c>
      <c r="B17" s="21"/>
      <c r="C17" s="56">
        <f>SUM(C9:C16)</f>
        <v>37</v>
      </c>
      <c r="D17" s="21"/>
      <c r="E17" s="56">
        <f>SUM(E9:E16)</f>
        <v>47</v>
      </c>
      <c r="F17" s="21"/>
      <c r="G17" s="56">
        <f>SUM(G9:G16)</f>
        <v>38</v>
      </c>
      <c r="H17" s="21"/>
      <c r="I17" s="56">
        <f>SUM(I9:I16)</f>
        <v>24</v>
      </c>
      <c r="J17" s="21"/>
      <c r="K17" s="56">
        <f>SUM(K9:K16)</f>
        <v>51</v>
      </c>
      <c r="L17" s="21"/>
      <c r="M17" s="56">
        <f>SUM(M9:M16)</f>
        <v>28</v>
      </c>
      <c r="N17" s="21"/>
      <c r="O17" s="56">
        <f>SUM(O9:O16)</f>
        <v>68</v>
      </c>
      <c r="P17" s="21"/>
      <c r="Q17" s="56">
        <f>SUM(Q9:Q16)</f>
        <v>31</v>
      </c>
      <c r="R17" s="21"/>
      <c r="S17" s="56">
        <f>SUM(S9:S16)</f>
        <v>35</v>
      </c>
      <c r="T17" s="21"/>
      <c r="U17" s="56">
        <f>SUM(U9:U16)</f>
        <v>33</v>
      </c>
    </row>
    <row r="18" spans="1:21" s="2" customFormat="1" ht="20.399999999999999" thickBot="1" x14ac:dyDescent="0.45">
      <c r="A18" s="17"/>
      <c r="B18" s="20" t="s">
        <v>10</v>
      </c>
      <c r="C18" s="61"/>
      <c r="D18" s="20" t="s">
        <v>10</v>
      </c>
      <c r="E18" s="61"/>
      <c r="F18" s="20" t="s">
        <v>10</v>
      </c>
      <c r="G18" s="61"/>
      <c r="H18" s="20" t="s">
        <v>10</v>
      </c>
      <c r="I18" s="61"/>
      <c r="J18" s="20" t="s">
        <v>10</v>
      </c>
      <c r="K18" s="61"/>
      <c r="L18" s="20" t="s">
        <v>10</v>
      </c>
      <c r="M18" s="61"/>
      <c r="N18" s="20" t="s">
        <v>10</v>
      </c>
      <c r="O18" s="61"/>
      <c r="P18" s="20" t="s">
        <v>10</v>
      </c>
      <c r="Q18" s="61"/>
      <c r="R18" s="20" t="s">
        <v>10</v>
      </c>
      <c r="S18" s="61"/>
      <c r="T18" s="20" t="s">
        <v>10</v>
      </c>
      <c r="U18" s="61"/>
    </row>
    <row r="19" spans="1:21" ht="14.4" thickTop="1" x14ac:dyDescent="0.25">
      <c r="A19" s="10">
        <v>1</v>
      </c>
      <c r="B19" s="79" t="s">
        <v>75</v>
      </c>
      <c r="C19" s="54">
        <v>1</v>
      </c>
      <c r="D19" s="79" t="s">
        <v>251</v>
      </c>
      <c r="E19" s="54">
        <v>40</v>
      </c>
      <c r="F19" s="79" t="s">
        <v>478</v>
      </c>
      <c r="G19" s="54">
        <v>8</v>
      </c>
      <c r="H19" s="79"/>
      <c r="I19" s="54">
        <v>20</v>
      </c>
      <c r="J19" s="79"/>
      <c r="K19" s="54">
        <v>29</v>
      </c>
      <c r="L19" s="79"/>
      <c r="M19" s="54">
        <v>7</v>
      </c>
      <c r="N19" s="79"/>
      <c r="O19" s="54">
        <v>1</v>
      </c>
      <c r="P19" s="79"/>
      <c r="Q19" s="54">
        <v>33</v>
      </c>
      <c r="R19" s="79"/>
      <c r="S19" s="54">
        <v>27</v>
      </c>
      <c r="T19" s="79"/>
      <c r="U19" s="54">
        <v>13</v>
      </c>
    </row>
    <row r="20" spans="1:21" x14ac:dyDescent="0.25">
      <c r="A20" s="10">
        <v>2</v>
      </c>
      <c r="B20" s="79" t="s">
        <v>127</v>
      </c>
      <c r="C20" s="54">
        <v>11</v>
      </c>
      <c r="D20" s="79" t="s">
        <v>258</v>
      </c>
      <c r="E20" s="54">
        <v>32</v>
      </c>
      <c r="F20" s="79" t="s">
        <v>196</v>
      </c>
      <c r="G20" s="54">
        <v>32</v>
      </c>
      <c r="H20" s="79"/>
      <c r="I20" s="54">
        <v>19</v>
      </c>
      <c r="J20" s="79"/>
      <c r="K20" s="54">
        <v>5</v>
      </c>
      <c r="L20" s="79"/>
      <c r="M20" s="54">
        <v>29</v>
      </c>
      <c r="N20" s="79"/>
      <c r="O20" s="54">
        <v>8</v>
      </c>
      <c r="P20" s="79"/>
      <c r="Q20" s="54">
        <v>2</v>
      </c>
      <c r="R20" s="79"/>
      <c r="S20" s="54">
        <v>12</v>
      </c>
      <c r="T20" s="79"/>
      <c r="U20" s="54">
        <v>9</v>
      </c>
    </row>
    <row r="21" spans="1:21" x14ac:dyDescent="0.25">
      <c r="A21" s="10">
        <v>3</v>
      </c>
      <c r="B21" s="79" t="s">
        <v>384</v>
      </c>
      <c r="C21" s="54">
        <v>28</v>
      </c>
      <c r="D21" s="79" t="s">
        <v>103</v>
      </c>
      <c r="E21" s="54">
        <v>27</v>
      </c>
      <c r="F21" s="79" t="s">
        <v>168</v>
      </c>
      <c r="G21" s="54">
        <v>19</v>
      </c>
      <c r="H21" s="79"/>
      <c r="I21" s="54">
        <v>16</v>
      </c>
      <c r="J21" s="79"/>
      <c r="K21" s="54">
        <v>4</v>
      </c>
      <c r="L21" s="79"/>
      <c r="M21" s="54">
        <v>6</v>
      </c>
      <c r="N21" s="79"/>
      <c r="O21" s="54">
        <v>2</v>
      </c>
      <c r="P21" s="79"/>
      <c r="Q21" s="54">
        <v>3</v>
      </c>
      <c r="R21" s="79"/>
      <c r="S21" s="54">
        <v>1</v>
      </c>
      <c r="T21" s="79"/>
      <c r="U21" s="54">
        <v>2</v>
      </c>
    </row>
    <row r="22" spans="1:21" x14ac:dyDescent="0.25">
      <c r="A22" s="10">
        <v>4</v>
      </c>
      <c r="B22" s="79" t="s">
        <v>137</v>
      </c>
      <c r="C22" s="54">
        <v>12</v>
      </c>
      <c r="D22" s="79" t="s">
        <v>338</v>
      </c>
      <c r="E22" s="54">
        <v>1</v>
      </c>
      <c r="F22" s="79" t="s">
        <v>89</v>
      </c>
      <c r="G22" s="54">
        <v>3</v>
      </c>
      <c r="H22" s="79"/>
      <c r="I22" s="54">
        <v>2</v>
      </c>
      <c r="J22" s="79"/>
      <c r="K22" s="54">
        <v>3</v>
      </c>
      <c r="L22" s="79"/>
      <c r="M22" s="54">
        <v>9</v>
      </c>
      <c r="N22" s="79"/>
      <c r="O22" s="54">
        <v>22</v>
      </c>
      <c r="P22" s="79"/>
      <c r="Q22" s="54">
        <v>1</v>
      </c>
      <c r="R22" s="79"/>
      <c r="S22" s="54">
        <v>2</v>
      </c>
      <c r="T22" s="79"/>
      <c r="U22" s="54">
        <v>7</v>
      </c>
    </row>
    <row r="23" spans="1:21" x14ac:dyDescent="0.25">
      <c r="A23" s="10">
        <v>5</v>
      </c>
      <c r="B23" s="79" t="s">
        <v>99</v>
      </c>
      <c r="C23" s="54">
        <v>18</v>
      </c>
      <c r="D23" s="79" t="s">
        <v>259</v>
      </c>
      <c r="E23" s="54">
        <v>7</v>
      </c>
      <c r="F23" s="79" t="s">
        <v>226</v>
      </c>
      <c r="G23" s="54">
        <v>4</v>
      </c>
      <c r="H23" s="79"/>
      <c r="I23" s="54">
        <v>1</v>
      </c>
      <c r="J23" s="79"/>
      <c r="K23" s="54">
        <v>3</v>
      </c>
      <c r="L23" s="79"/>
      <c r="M23" s="54">
        <v>2</v>
      </c>
      <c r="N23" s="79"/>
      <c r="O23" s="54">
        <v>8</v>
      </c>
      <c r="P23" s="79"/>
      <c r="Q23" s="54">
        <v>1</v>
      </c>
      <c r="R23" s="79"/>
      <c r="S23" s="54">
        <v>11</v>
      </c>
      <c r="T23" s="79"/>
      <c r="U23" s="54">
        <v>1</v>
      </c>
    </row>
    <row r="24" spans="1:21" x14ac:dyDescent="0.25">
      <c r="A24" s="10">
        <v>6</v>
      </c>
      <c r="B24" s="79" t="s">
        <v>399</v>
      </c>
      <c r="C24" s="54">
        <v>1</v>
      </c>
      <c r="D24" s="79" t="s">
        <v>126</v>
      </c>
      <c r="E24" s="54">
        <v>1</v>
      </c>
      <c r="F24" s="79" t="s">
        <v>379</v>
      </c>
      <c r="G24" s="54">
        <v>12</v>
      </c>
      <c r="H24" s="79"/>
      <c r="I24" s="54">
        <v>6</v>
      </c>
      <c r="J24" s="79"/>
      <c r="K24" s="54">
        <v>1</v>
      </c>
      <c r="L24" s="79"/>
      <c r="M24" s="54">
        <v>3</v>
      </c>
      <c r="N24" s="79"/>
      <c r="O24" s="54">
        <v>22</v>
      </c>
      <c r="P24" s="79"/>
      <c r="Q24" s="54">
        <v>1</v>
      </c>
      <c r="R24" s="79"/>
      <c r="S24" s="54">
        <v>1</v>
      </c>
      <c r="T24" s="79"/>
      <c r="U24" s="54">
        <v>1</v>
      </c>
    </row>
    <row r="25" spans="1:21" x14ac:dyDescent="0.25">
      <c r="A25" s="10">
        <v>7</v>
      </c>
      <c r="B25" s="79" t="s">
        <v>273</v>
      </c>
      <c r="C25" s="54">
        <v>6</v>
      </c>
      <c r="D25" s="79" t="s">
        <v>152</v>
      </c>
      <c r="E25" s="54">
        <v>1</v>
      </c>
      <c r="F25" s="79" t="s">
        <v>263</v>
      </c>
      <c r="G25" s="54">
        <v>3</v>
      </c>
      <c r="H25" s="79"/>
      <c r="I25" s="54">
        <v>3</v>
      </c>
      <c r="J25" s="79"/>
      <c r="K25" s="54">
        <v>1</v>
      </c>
      <c r="L25" s="79"/>
      <c r="M25" s="54">
        <v>4</v>
      </c>
      <c r="N25" s="79"/>
      <c r="O25" s="54">
        <v>1</v>
      </c>
      <c r="P25" s="79"/>
      <c r="Q25" s="54">
        <v>1</v>
      </c>
      <c r="R25" s="79"/>
      <c r="S25" s="54">
        <v>2</v>
      </c>
      <c r="T25" s="79"/>
      <c r="U25" s="54">
        <v>1</v>
      </c>
    </row>
    <row r="26" spans="1:21" x14ac:dyDescent="0.25">
      <c r="A26" s="10">
        <v>8</v>
      </c>
      <c r="B26" s="79" t="s">
        <v>51</v>
      </c>
      <c r="C26" s="54">
        <v>2</v>
      </c>
      <c r="D26" s="79" t="s">
        <v>311</v>
      </c>
      <c r="E26" s="54">
        <v>1</v>
      </c>
      <c r="F26" s="79" t="s">
        <v>113</v>
      </c>
      <c r="G26" s="54">
        <v>7</v>
      </c>
      <c r="H26" s="79"/>
      <c r="I26" s="54">
        <v>1</v>
      </c>
      <c r="J26" s="79"/>
      <c r="K26" s="54">
        <v>2</v>
      </c>
      <c r="L26" s="79"/>
      <c r="M26" s="54">
        <v>1</v>
      </c>
      <c r="N26" s="79"/>
      <c r="O26" s="54">
        <v>1</v>
      </c>
      <c r="P26" s="79"/>
      <c r="Q26" s="54">
        <v>1</v>
      </c>
      <c r="R26" s="79"/>
      <c r="S26" s="54">
        <v>1</v>
      </c>
      <c r="T26" s="79"/>
      <c r="U26" s="54">
        <v>1</v>
      </c>
    </row>
    <row r="27" spans="1:21" s="2" customFormat="1" x14ac:dyDescent="0.25">
      <c r="A27" s="17" t="s">
        <v>16</v>
      </c>
      <c r="B27" s="21"/>
      <c r="C27" s="56">
        <f>SUM(C19:C26)</f>
        <v>79</v>
      </c>
      <c r="D27" s="21"/>
      <c r="E27" s="56">
        <f>SUM(E19:E26)</f>
        <v>110</v>
      </c>
      <c r="F27" s="21"/>
      <c r="G27" s="56">
        <f>SUM(G19:G26)</f>
        <v>88</v>
      </c>
      <c r="H27" s="21"/>
      <c r="I27" s="56">
        <f>SUM(I19:I26)</f>
        <v>68</v>
      </c>
      <c r="J27" s="21"/>
      <c r="K27" s="56">
        <f>SUM(K19:K26)</f>
        <v>48</v>
      </c>
      <c r="L27" s="21"/>
      <c r="M27" s="56">
        <f>SUM(M19:M26)</f>
        <v>61</v>
      </c>
      <c r="N27" s="21"/>
      <c r="O27" s="56">
        <f>SUM(O19:O26)</f>
        <v>65</v>
      </c>
      <c r="P27" s="21"/>
      <c r="Q27" s="56">
        <f>SUM(Q19:Q26)</f>
        <v>43</v>
      </c>
      <c r="R27" s="21"/>
      <c r="S27" s="56">
        <f>SUM(S19:S26)</f>
        <v>57</v>
      </c>
      <c r="T27" s="21"/>
      <c r="U27" s="56">
        <f>SUM(U19:U26)</f>
        <v>35</v>
      </c>
    </row>
    <row r="28" spans="1:21" s="2" customFormat="1" ht="20.399999999999999" thickBot="1" x14ac:dyDescent="0.45">
      <c r="A28" s="17"/>
      <c r="B28" s="20" t="s">
        <v>11</v>
      </c>
      <c r="C28" s="61"/>
      <c r="D28" s="20" t="s">
        <v>11</v>
      </c>
      <c r="E28" s="61"/>
      <c r="F28" s="20" t="s">
        <v>11</v>
      </c>
      <c r="G28" s="61"/>
      <c r="H28" s="20" t="s">
        <v>11</v>
      </c>
      <c r="I28" s="61"/>
      <c r="J28" s="20" t="s">
        <v>11</v>
      </c>
      <c r="K28" s="61"/>
      <c r="L28" s="20" t="s">
        <v>11</v>
      </c>
      <c r="M28" s="61"/>
      <c r="N28" s="20" t="s">
        <v>11</v>
      </c>
      <c r="O28" s="61"/>
      <c r="P28" s="20" t="s">
        <v>11</v>
      </c>
      <c r="Q28" s="61"/>
      <c r="R28" s="20" t="s">
        <v>11</v>
      </c>
      <c r="S28" s="61"/>
      <c r="T28" s="20" t="s">
        <v>11</v>
      </c>
      <c r="U28" s="61"/>
    </row>
    <row r="29" spans="1:21" ht="14.4" thickTop="1" x14ac:dyDescent="0.25">
      <c r="A29" s="10">
        <v>1</v>
      </c>
      <c r="B29" s="80" t="s">
        <v>128</v>
      </c>
      <c r="C29" s="54">
        <v>140</v>
      </c>
      <c r="D29" s="80" t="s">
        <v>79</v>
      </c>
      <c r="E29" s="54">
        <v>20</v>
      </c>
      <c r="F29" s="80" t="s">
        <v>216</v>
      </c>
      <c r="G29" s="54">
        <v>15</v>
      </c>
      <c r="H29" s="80"/>
      <c r="I29" s="54">
        <v>146</v>
      </c>
      <c r="J29" s="80"/>
      <c r="K29" s="54">
        <v>126</v>
      </c>
      <c r="L29" s="80"/>
      <c r="M29" s="54">
        <v>125</v>
      </c>
      <c r="N29" s="80"/>
      <c r="O29" s="54">
        <v>40</v>
      </c>
      <c r="P29" s="80"/>
      <c r="Q29" s="54">
        <v>131</v>
      </c>
      <c r="R29" s="80"/>
      <c r="S29" s="54">
        <v>130</v>
      </c>
      <c r="T29" s="80"/>
      <c r="U29" s="54">
        <v>59</v>
      </c>
    </row>
    <row r="30" spans="1:21" x14ac:dyDescent="0.25">
      <c r="A30" s="10">
        <v>2</v>
      </c>
      <c r="B30" s="80" t="s">
        <v>425</v>
      </c>
      <c r="C30" s="54">
        <v>1</v>
      </c>
      <c r="D30" s="80" t="s">
        <v>190</v>
      </c>
      <c r="E30" s="54">
        <v>90</v>
      </c>
      <c r="F30" s="80" t="s">
        <v>504</v>
      </c>
      <c r="G30" s="54">
        <v>3</v>
      </c>
      <c r="H30" s="80"/>
      <c r="I30" s="54">
        <v>2</v>
      </c>
      <c r="J30" s="80"/>
      <c r="K30" s="54">
        <v>11</v>
      </c>
      <c r="L30" s="80"/>
      <c r="M30" s="54">
        <v>4</v>
      </c>
      <c r="N30" s="80"/>
      <c r="O30" s="54">
        <v>60</v>
      </c>
      <c r="P30" s="80"/>
      <c r="Q30" s="54">
        <v>34</v>
      </c>
      <c r="R30" s="80"/>
      <c r="S30" s="54">
        <v>34</v>
      </c>
      <c r="T30" s="80"/>
      <c r="U30" s="54">
        <v>91</v>
      </c>
    </row>
    <row r="31" spans="1:21" x14ac:dyDescent="0.25">
      <c r="A31" s="10">
        <v>3</v>
      </c>
      <c r="B31" s="80" t="s">
        <v>485</v>
      </c>
      <c r="C31" s="54">
        <v>15</v>
      </c>
      <c r="D31" s="80" t="s">
        <v>81</v>
      </c>
      <c r="E31" s="54">
        <v>1</v>
      </c>
      <c r="F31" s="80" t="s">
        <v>183</v>
      </c>
      <c r="G31" s="54">
        <v>32</v>
      </c>
      <c r="H31" s="80"/>
      <c r="I31" s="54">
        <v>14</v>
      </c>
      <c r="J31" s="80"/>
      <c r="K31" s="54">
        <v>22</v>
      </c>
      <c r="L31" s="80"/>
      <c r="M31" s="54">
        <v>21</v>
      </c>
      <c r="N31" s="80"/>
      <c r="O31" s="54">
        <v>4</v>
      </c>
      <c r="P31" s="80"/>
      <c r="Q31" s="54">
        <v>7</v>
      </c>
      <c r="R31" s="80"/>
      <c r="S31" s="54">
        <v>1</v>
      </c>
      <c r="T31" s="80"/>
      <c r="U31" s="54">
        <v>27</v>
      </c>
    </row>
    <row r="32" spans="1:21" x14ac:dyDescent="0.25">
      <c r="A32" s="10">
        <v>4</v>
      </c>
      <c r="B32" s="80" t="s">
        <v>454</v>
      </c>
      <c r="C32" s="54">
        <v>2</v>
      </c>
      <c r="D32" s="80" t="s">
        <v>494</v>
      </c>
      <c r="E32" s="54">
        <v>1</v>
      </c>
      <c r="F32" s="80" t="s">
        <v>336</v>
      </c>
      <c r="G32" s="54">
        <v>31</v>
      </c>
      <c r="H32" s="80"/>
      <c r="I32" s="54">
        <v>2</v>
      </c>
      <c r="J32" s="80"/>
      <c r="K32" s="54">
        <v>5</v>
      </c>
      <c r="L32" s="80"/>
      <c r="M32" s="54">
        <v>22</v>
      </c>
      <c r="N32" s="80"/>
      <c r="O32" s="54">
        <v>17</v>
      </c>
      <c r="P32" s="80"/>
      <c r="Q32" s="54">
        <v>18</v>
      </c>
      <c r="R32" s="80"/>
      <c r="S32" s="54">
        <v>20</v>
      </c>
      <c r="T32" s="80"/>
      <c r="U32" s="54">
        <v>19</v>
      </c>
    </row>
    <row r="33" spans="1:21" x14ac:dyDescent="0.25">
      <c r="A33" s="10">
        <v>5</v>
      </c>
      <c r="B33" s="80" t="s">
        <v>492</v>
      </c>
      <c r="C33" s="54">
        <v>1</v>
      </c>
      <c r="D33" s="80" t="s">
        <v>237</v>
      </c>
      <c r="E33" s="54">
        <v>1</v>
      </c>
      <c r="F33" s="80" t="s">
        <v>50</v>
      </c>
      <c r="G33" s="54">
        <v>31</v>
      </c>
      <c r="H33" s="80"/>
      <c r="I33" s="54">
        <v>16</v>
      </c>
      <c r="J33" s="80"/>
      <c r="K33" s="54">
        <v>1</v>
      </c>
      <c r="L33" s="80"/>
      <c r="M33" s="54">
        <v>8</v>
      </c>
      <c r="N33" s="80"/>
      <c r="O33" s="54">
        <v>4</v>
      </c>
      <c r="P33" s="80"/>
      <c r="Q33" s="54">
        <v>14</v>
      </c>
      <c r="R33" s="80"/>
      <c r="S33" s="54">
        <v>2</v>
      </c>
      <c r="T33" s="80"/>
      <c r="U33" s="54">
        <v>1</v>
      </c>
    </row>
    <row r="34" spans="1:21" x14ac:dyDescent="0.25">
      <c r="A34" s="10">
        <v>6</v>
      </c>
      <c r="B34" s="80" t="s">
        <v>482</v>
      </c>
      <c r="C34" s="54">
        <v>3</v>
      </c>
      <c r="D34" s="80" t="s">
        <v>499</v>
      </c>
      <c r="E34" s="54">
        <v>1</v>
      </c>
      <c r="F34" s="80" t="s">
        <v>470</v>
      </c>
      <c r="G34" s="54">
        <v>33</v>
      </c>
      <c r="H34" s="80"/>
      <c r="I34" s="54">
        <v>2</v>
      </c>
      <c r="J34" s="80"/>
      <c r="K34" s="54">
        <v>4</v>
      </c>
      <c r="L34" s="80"/>
      <c r="M34" s="54">
        <v>24</v>
      </c>
      <c r="N34" s="80"/>
      <c r="O34" s="54">
        <v>1</v>
      </c>
      <c r="P34" s="80"/>
      <c r="Q34" s="54">
        <v>1</v>
      </c>
      <c r="R34" s="80"/>
      <c r="S34" s="54">
        <v>1</v>
      </c>
      <c r="T34" s="80"/>
      <c r="U34" s="54">
        <v>4</v>
      </c>
    </row>
    <row r="35" spans="1:21" s="2" customFormat="1" x14ac:dyDescent="0.25">
      <c r="A35" s="2" t="s">
        <v>17</v>
      </c>
      <c r="B35" s="21"/>
      <c r="C35" s="56">
        <f>SUM(C29:C34)</f>
        <v>162</v>
      </c>
      <c r="D35" s="21"/>
      <c r="E35" s="56">
        <f>SUM(E29:E34)</f>
        <v>114</v>
      </c>
      <c r="F35" s="21"/>
      <c r="G35" s="56">
        <f>SUM(G29:G34)</f>
        <v>145</v>
      </c>
      <c r="H35" s="21"/>
      <c r="I35" s="56">
        <f>SUM(I29:I34)</f>
        <v>182</v>
      </c>
      <c r="J35" s="21"/>
      <c r="K35" s="56">
        <f>SUM(K29:K34)</f>
        <v>169</v>
      </c>
      <c r="L35" s="21"/>
      <c r="M35" s="56">
        <f>SUM(M29:M34)</f>
        <v>204</v>
      </c>
      <c r="N35" s="21"/>
      <c r="O35" s="56">
        <f>SUM(O29:O34)</f>
        <v>126</v>
      </c>
      <c r="P35" s="21"/>
      <c r="Q35" s="56">
        <f>SUM(Q29:Q34)</f>
        <v>205</v>
      </c>
      <c r="R35" s="21"/>
      <c r="S35" s="56">
        <f>SUM(S29:S34)</f>
        <v>188</v>
      </c>
      <c r="T35" s="21"/>
      <c r="U35" s="56">
        <f>SUM(U29:U34)</f>
        <v>201</v>
      </c>
    </row>
    <row r="36" spans="1:21" s="2" customFormat="1" ht="14.4" thickBot="1" x14ac:dyDescent="0.3">
      <c r="B36" s="21"/>
      <c r="C36" s="56"/>
      <c r="D36" s="21"/>
      <c r="E36" s="56"/>
      <c r="F36" s="21"/>
      <c r="G36" s="56"/>
      <c r="H36" s="21"/>
      <c r="I36" s="56"/>
      <c r="J36" s="21"/>
      <c r="K36" s="56"/>
      <c r="L36" s="21"/>
      <c r="M36" s="56"/>
      <c r="N36" s="21"/>
      <c r="O36" s="56"/>
      <c r="P36" s="21"/>
      <c r="Q36" s="56"/>
      <c r="R36" s="21"/>
      <c r="S36" s="56"/>
      <c r="T36" s="21"/>
      <c r="U36" s="56"/>
    </row>
    <row r="37" spans="1:21" s="7" customFormat="1" ht="15.6" x14ac:dyDescent="0.3">
      <c r="A37" s="7" t="s">
        <v>12</v>
      </c>
      <c r="B37" s="58"/>
      <c r="C37" s="59">
        <f>C7+C17+C27+C35</f>
        <v>297</v>
      </c>
      <c r="D37" s="58"/>
      <c r="E37" s="59">
        <f>E7+E17+E27+E35</f>
        <v>294</v>
      </c>
      <c r="F37" s="58"/>
      <c r="G37" s="59">
        <f>G7+G17+G27+G35</f>
        <v>300</v>
      </c>
      <c r="H37" s="58"/>
      <c r="I37" s="59">
        <f>I7+I17+I27+I35</f>
        <v>300</v>
      </c>
      <c r="J37" s="58"/>
      <c r="K37" s="59">
        <f>K7+K17+K27+K35</f>
        <v>296</v>
      </c>
      <c r="L37" s="58"/>
      <c r="M37" s="59">
        <f>M7+M17+M27+M35</f>
        <v>300</v>
      </c>
      <c r="N37" s="58"/>
      <c r="O37" s="59">
        <f>O7+O17+O27+O35</f>
        <v>286</v>
      </c>
      <c r="P37" s="58"/>
      <c r="Q37" s="59">
        <f>Q7+Q17+Q27+Q35</f>
        <v>298</v>
      </c>
      <c r="R37" s="58"/>
      <c r="S37" s="59">
        <f>S7+S17+S27+S35</f>
        <v>298</v>
      </c>
      <c r="T37" s="58"/>
      <c r="U37" s="59">
        <f>U7+U17+U27+U35</f>
        <v>291</v>
      </c>
    </row>
    <row r="38" spans="1:21" s="9" customFormat="1" ht="23.4" thickBot="1" x14ac:dyDescent="0.45">
      <c r="A38" s="9" t="s">
        <v>18</v>
      </c>
      <c r="B38" s="60"/>
      <c r="C38" s="57">
        <f>C2-C37</f>
        <v>3</v>
      </c>
      <c r="D38" s="60"/>
      <c r="E38" s="57">
        <f>E2-E37</f>
        <v>6</v>
      </c>
      <c r="F38" s="60"/>
      <c r="G38" s="57">
        <f>G2-G37</f>
        <v>0</v>
      </c>
      <c r="H38" s="60"/>
      <c r="I38" s="57">
        <f>I2-I37</f>
        <v>0</v>
      </c>
      <c r="J38" s="60"/>
      <c r="K38" s="57">
        <f>K2-K37</f>
        <v>4</v>
      </c>
      <c r="L38" s="60"/>
      <c r="M38" s="57">
        <f>M2-M37</f>
        <v>0</v>
      </c>
      <c r="N38" s="60"/>
      <c r="O38" s="57">
        <f>O2-O37</f>
        <v>14</v>
      </c>
      <c r="P38" s="60"/>
      <c r="Q38" s="57">
        <f>Q2-Q37</f>
        <v>2</v>
      </c>
      <c r="R38" s="60"/>
      <c r="S38" s="57">
        <f>S2-S37</f>
        <v>2</v>
      </c>
      <c r="T38" s="60"/>
      <c r="U38" s="57">
        <f>U2-U37</f>
        <v>9</v>
      </c>
    </row>
  </sheetData>
  <dataValidations count="1">
    <dataValidation type="list" allowBlank="1" showInputMessage="1" showErrorMessage="1" sqref="W12 B4:B6 D4:D6 F4:F6 L4:L6 N4:N6 P4:P6 R4:R6 T4:T6 B9:B16 D9:D16 F9:F16 H9:H16 J9:J16 L9:L16 N9:N16 P9:P16 R9:R16 T9:T16 B19:B26 D19:D26 F19:F26 H19:H26 J19:J26 L19:L26 N19:N26 P19:P26 R19:R26 T19:T26 B29:B34 D29:D34 F29:F34 H29:H34 J29:J34 L29:L34 N29:N34 P29:P34 R29:R34 T29:T34" xr:uid="{4CFA9008-EF4F-45D5-B50E-DACC6B1FDA97}">
      <formula1>PLAYERS</formula1>
    </dataValidation>
  </dataValidations>
  <pageMargins left="0" right="0" top="0.39409448818897608" bottom="0.39409448818897608" header="0" footer="0"/>
  <pageSetup paperSize="9" scale="57" fitToWidth="0" fitToHeight="0" orientation="landscape" r:id="rId1"/>
  <headerFooter>
    <oddHeader>&amp;C&amp;A</oddHeader>
    <oddFooter>&amp;CPage &amp;P</oddFooter>
  </headerFooter>
  <drawing r:id="rId2"/>
  <legacyDrawing r:id="rId3"/>
  <controls>
    <mc:AlternateContent xmlns:mc="http://schemas.openxmlformats.org/markup-compatibility/2006">
      <mc:Choice Requires="x14">
        <control shapeId="3080" r:id="rId4" name="PlayersCombo">
          <controlPr autoLine="0" autoPict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0</xdr:col>
                <xdr:colOff>129540</xdr:colOff>
                <xdr:row>1</xdr:row>
                <xdr:rowOff>167640</xdr:rowOff>
              </to>
            </anchor>
          </controlPr>
        </control>
      </mc:Choice>
      <mc:Fallback>
        <control shapeId="3080" r:id="rId4" name="Players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EFF962-D80C-4F87-BEBC-A3C824451E04}">
          <x14:formula1>
            <xm:f>'C:\Users\Edoardo\Alma Mater Studiorum Università di Bologna\OneDrive - Alma Mater Studiorum Università di Bologna\Fantagalleague\2018-2019\[Fantagalli_GUI_18-19.2.xlsm]PLAYERS'!#REF!</xm:f>
          </x14:formula1>
          <xm:sqref>J4:J6 H4:H6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73B3-B355-40BB-B704-1181B90E0ADB}">
  <sheetPr codeName="Foglio5"/>
  <dimension ref="A1:AF46"/>
  <sheetViews>
    <sheetView zoomScale="55" zoomScaleNormal="55" workbookViewId="0">
      <pane ySplit="1" topLeftCell="A2" activePane="bottomLeft" state="frozen"/>
      <selection pane="bottomLeft" activeCell="AG13" sqref="AG13"/>
    </sheetView>
  </sheetViews>
  <sheetFormatPr defaultRowHeight="13.8" x14ac:dyDescent="0.25"/>
  <cols>
    <col min="1" max="1" width="7" style="10" bestFit="1" customWidth="1"/>
    <col min="2" max="2" width="17.19921875" style="51" bestFit="1" customWidth="1"/>
    <col min="3" max="3" width="4.5" style="11" bestFit="1" customWidth="1"/>
    <col min="4" max="4" width="3.8984375" style="11" bestFit="1" customWidth="1"/>
    <col min="5" max="5" width="17.8984375" style="51" bestFit="1" customWidth="1"/>
    <col min="6" max="6" width="3.3984375" style="11" bestFit="1" customWidth="1"/>
    <col min="7" max="7" width="3.8984375" style="11" bestFit="1" customWidth="1"/>
    <col min="8" max="8" width="13.8984375" style="51" bestFit="1" customWidth="1"/>
    <col min="9" max="9" width="3.3984375" style="11" bestFit="1" customWidth="1"/>
    <col min="10" max="10" width="3.69921875" style="11" bestFit="1" customWidth="1"/>
    <col min="11" max="11" width="20.59765625" style="51" bestFit="1" customWidth="1"/>
    <col min="12" max="12" width="4.5" style="11" bestFit="1" customWidth="1"/>
    <col min="13" max="13" width="3.69921875" style="11" bestFit="1" customWidth="1"/>
    <col min="14" max="14" width="14.59765625" style="51" bestFit="1" customWidth="1"/>
    <col min="15" max="15" width="4.5" style="11" bestFit="1" customWidth="1"/>
    <col min="16" max="16" width="3.69921875" style="11" bestFit="1" customWidth="1"/>
    <col min="17" max="17" width="15.19921875" style="51" bestFit="1" customWidth="1"/>
    <col min="18" max="18" width="4.5" style="11" bestFit="1" customWidth="1"/>
    <col min="19" max="19" width="3.69921875" style="11" bestFit="1" customWidth="1"/>
    <col min="20" max="20" width="16.5" style="51" bestFit="1" customWidth="1"/>
    <col min="21" max="21" width="3.3984375" style="11" bestFit="1" customWidth="1"/>
    <col min="22" max="22" width="3.69921875" style="11" bestFit="1" customWidth="1"/>
    <col min="23" max="23" width="11.69921875" style="51" bestFit="1" customWidth="1"/>
    <col min="24" max="24" width="4.5" style="11" bestFit="1" customWidth="1"/>
    <col min="25" max="25" width="3.69921875" style="11" bestFit="1" customWidth="1"/>
    <col min="26" max="26" width="17.8984375" style="51" bestFit="1" customWidth="1"/>
    <col min="27" max="27" width="4.5" style="11" bestFit="1" customWidth="1"/>
    <col min="28" max="28" width="3.69921875" style="11" bestFit="1" customWidth="1"/>
    <col min="29" max="29" width="17" style="51" bestFit="1" customWidth="1"/>
    <col min="30" max="30" width="3.3984375" style="11" customWidth="1"/>
    <col min="31" max="31" width="3.69921875" style="11" bestFit="1" customWidth="1"/>
    <col min="32" max="32" width="9.19921875" bestFit="1" customWidth="1"/>
    <col min="33" max="1034" width="10.69921875" customWidth="1"/>
  </cols>
  <sheetData>
    <row r="1" spans="1:32" s="1" customFormat="1" ht="16.2" thickBot="1" x14ac:dyDescent="0.35">
      <c r="A1" s="31"/>
      <c r="B1" s="18" t="s">
        <v>0</v>
      </c>
      <c r="C1" s="19"/>
      <c r="D1" s="19"/>
      <c r="E1" s="18" t="s">
        <v>1</v>
      </c>
      <c r="F1" s="19"/>
      <c r="G1" s="19"/>
      <c r="H1" s="18" t="s">
        <v>2</v>
      </c>
      <c r="I1" s="19"/>
      <c r="J1" s="19"/>
      <c r="K1" s="18" t="s">
        <v>3</v>
      </c>
      <c r="L1" s="19"/>
      <c r="M1" s="19"/>
      <c r="N1" s="18" t="s">
        <v>4</v>
      </c>
      <c r="O1" s="19"/>
      <c r="P1" s="19"/>
      <c r="Q1" s="18" t="s">
        <v>5</v>
      </c>
      <c r="R1" s="19"/>
      <c r="S1" s="19"/>
      <c r="T1" s="18" t="s">
        <v>6</v>
      </c>
      <c r="U1" s="19"/>
      <c r="V1" s="19"/>
      <c r="W1" s="18" t="s">
        <v>7</v>
      </c>
      <c r="X1" s="19"/>
      <c r="Y1" s="19"/>
      <c r="Z1" s="18" t="s">
        <v>467</v>
      </c>
      <c r="AA1" s="19"/>
      <c r="AB1" s="63"/>
      <c r="AC1" s="18" t="s">
        <v>468</v>
      </c>
      <c r="AD1" s="19"/>
      <c r="AE1" s="63"/>
    </row>
    <row r="2" spans="1:32" x14ac:dyDescent="0.25">
      <c r="A2" s="30" t="s">
        <v>13</v>
      </c>
      <c r="B2" s="3"/>
      <c r="D2" s="14">
        <f>I!C38</f>
        <v>3</v>
      </c>
      <c r="E2" s="3"/>
      <c r="G2" s="14">
        <f>I!E38</f>
        <v>6</v>
      </c>
      <c r="H2" s="3"/>
      <c r="J2" s="14">
        <f>I!G38</f>
        <v>0</v>
      </c>
      <c r="K2" s="3"/>
      <c r="M2" s="14">
        <f>I!I38</f>
        <v>0</v>
      </c>
      <c r="N2" s="3"/>
      <c r="P2" s="14">
        <f>I!K38</f>
        <v>4</v>
      </c>
      <c r="Q2" s="3"/>
      <c r="S2" s="14">
        <f>I!M38</f>
        <v>0</v>
      </c>
      <c r="T2" s="3"/>
      <c r="V2" s="14">
        <f>I!O38</f>
        <v>14</v>
      </c>
      <c r="W2" s="3"/>
      <c r="Y2" s="14">
        <f>I!Q38</f>
        <v>2</v>
      </c>
      <c r="Z2" s="55"/>
      <c r="AB2" s="64">
        <f>I!S38</f>
        <v>2</v>
      </c>
      <c r="AC2" s="55"/>
      <c r="AE2" s="64">
        <f>I!U38</f>
        <v>9</v>
      </c>
    </row>
    <row r="3" spans="1:32" ht="20.399999999999999" thickBot="1" x14ac:dyDescent="0.45">
      <c r="A3" s="23"/>
      <c r="B3" s="4" t="s">
        <v>8</v>
      </c>
      <c r="C3" s="52"/>
      <c r="D3" s="38" t="s">
        <v>27</v>
      </c>
      <c r="E3" s="4" t="s">
        <v>8</v>
      </c>
      <c r="F3" s="52"/>
      <c r="G3" s="38" t="s">
        <v>27</v>
      </c>
      <c r="H3" s="4" t="s">
        <v>8</v>
      </c>
      <c r="I3" s="52"/>
      <c r="J3" s="38" t="s">
        <v>27</v>
      </c>
      <c r="K3" s="4" t="s">
        <v>8</v>
      </c>
      <c r="L3" s="52"/>
      <c r="M3" s="38" t="s">
        <v>27</v>
      </c>
      <c r="N3" s="4" t="s">
        <v>8</v>
      </c>
      <c r="O3" s="52"/>
      <c r="P3" s="38" t="s">
        <v>27</v>
      </c>
      <c r="Q3" s="4" t="s">
        <v>8</v>
      </c>
      <c r="R3" s="52"/>
      <c r="S3" s="38" t="s">
        <v>27</v>
      </c>
      <c r="T3" s="4" t="s">
        <v>8</v>
      </c>
      <c r="U3" s="52"/>
      <c r="V3" s="38" t="s">
        <v>27</v>
      </c>
      <c r="W3" s="4" t="s">
        <v>8</v>
      </c>
      <c r="X3" s="52"/>
      <c r="Y3" s="38" t="s">
        <v>27</v>
      </c>
      <c r="Z3" s="20" t="s">
        <v>8</v>
      </c>
      <c r="AA3" s="52"/>
      <c r="AB3" s="65" t="s">
        <v>27</v>
      </c>
      <c r="AC3" s="20" t="s">
        <v>8</v>
      </c>
      <c r="AD3" s="52"/>
      <c r="AE3" s="65" t="s">
        <v>27</v>
      </c>
    </row>
    <row r="4" spans="1:32" s="28" customFormat="1" ht="14.4" thickTop="1" x14ac:dyDescent="0.25">
      <c r="A4" s="24">
        <v>1</v>
      </c>
      <c r="B4" s="25" t="str">
        <f>I!B4</f>
        <v>STRAKOSHA</v>
      </c>
      <c r="C4" s="26">
        <f>I!C4</f>
        <v>16</v>
      </c>
      <c r="D4" s="32"/>
      <c r="E4" s="101" t="str">
        <f>I!D4</f>
        <v>PERIN</v>
      </c>
      <c r="F4" s="26">
        <f>I!E4</f>
        <v>5</v>
      </c>
      <c r="G4" s="32">
        <v>1</v>
      </c>
      <c r="H4" s="25" t="str">
        <f>I!F4</f>
        <v>LAFONT</v>
      </c>
      <c r="I4" s="26">
        <f>I!G4</f>
        <v>13</v>
      </c>
      <c r="J4" s="32"/>
      <c r="K4" s="25">
        <f>I!H4</f>
        <v>0</v>
      </c>
      <c r="L4" s="26">
        <f>I!I4</f>
        <v>24</v>
      </c>
      <c r="M4" s="32"/>
      <c r="N4" s="25">
        <f>I!J4</f>
        <v>0</v>
      </c>
      <c r="O4" s="26">
        <f>I!K4</f>
        <v>26</v>
      </c>
      <c r="P4" s="32"/>
      <c r="Q4" s="25">
        <f>I!L4</f>
        <v>0</v>
      </c>
      <c r="R4" s="26">
        <f>I!M4</f>
        <v>2</v>
      </c>
      <c r="S4" s="32"/>
      <c r="T4" s="25">
        <f>I!N4</f>
        <v>0</v>
      </c>
      <c r="U4" s="26">
        <f>I!O4</f>
        <v>7</v>
      </c>
      <c r="V4" s="32"/>
      <c r="W4" s="25">
        <f>I!P4</f>
        <v>0</v>
      </c>
      <c r="X4" s="26">
        <f>I!Q4</f>
        <v>7</v>
      </c>
      <c r="Y4" s="32"/>
      <c r="Z4" s="27">
        <f>I!R4</f>
        <v>0</v>
      </c>
      <c r="AA4" s="26">
        <f>I!S4</f>
        <v>7</v>
      </c>
      <c r="AB4" s="68"/>
      <c r="AC4" s="27">
        <f>I!T4</f>
        <v>0</v>
      </c>
      <c r="AD4" s="26">
        <f>I!U4</f>
        <v>20</v>
      </c>
      <c r="AE4" s="68"/>
    </row>
    <row r="5" spans="1:32" s="28" customFormat="1" x14ac:dyDescent="0.25">
      <c r="A5" s="24">
        <v>2</v>
      </c>
      <c r="B5" s="25" t="str">
        <f>I!B5</f>
        <v>PROTO</v>
      </c>
      <c r="C5" s="26">
        <f>I!C5</f>
        <v>1</v>
      </c>
      <c r="D5" s="32"/>
      <c r="E5" s="25" t="str">
        <f>I!D5</f>
        <v>SORRENTINO</v>
      </c>
      <c r="F5" s="26">
        <f>I!E5</f>
        <v>7</v>
      </c>
      <c r="G5" s="32"/>
      <c r="H5" s="101" t="str">
        <f>I!F5</f>
        <v>OSPINA</v>
      </c>
      <c r="I5" s="26">
        <f>I!G5</f>
        <v>4</v>
      </c>
      <c r="J5" s="32">
        <v>1</v>
      </c>
      <c r="K5" s="25">
        <f>I!H5</f>
        <v>0</v>
      </c>
      <c r="L5" s="26">
        <f>I!I5</f>
        <v>1</v>
      </c>
      <c r="M5" s="32"/>
      <c r="N5" s="25">
        <f>I!J5</f>
        <v>0</v>
      </c>
      <c r="O5" s="26">
        <f>I!K5</f>
        <v>1</v>
      </c>
      <c r="P5" s="32"/>
      <c r="Q5" s="25">
        <f>I!L5</f>
        <v>0</v>
      </c>
      <c r="R5" s="26">
        <f>I!M5</f>
        <v>4</v>
      </c>
      <c r="S5" s="32"/>
      <c r="T5" s="25">
        <f>I!N5</f>
        <v>0</v>
      </c>
      <c r="U5" s="26">
        <f>I!O5</f>
        <v>19</v>
      </c>
      <c r="V5" s="32"/>
      <c r="W5" s="25">
        <f>I!P5</f>
        <v>0</v>
      </c>
      <c r="X5" s="26">
        <f>I!Q5</f>
        <v>8</v>
      </c>
      <c r="Y5" s="32"/>
      <c r="Z5" s="27">
        <f>I!R5</f>
        <v>0</v>
      </c>
      <c r="AA5" s="26">
        <f>I!S5</f>
        <v>10</v>
      </c>
      <c r="AB5" s="68"/>
      <c r="AC5" s="27">
        <f>I!T5</f>
        <v>0</v>
      </c>
      <c r="AD5" s="26">
        <f>I!U5</f>
        <v>1</v>
      </c>
      <c r="AE5" s="68"/>
    </row>
    <row r="6" spans="1:32" s="28" customFormat="1" x14ac:dyDescent="0.25">
      <c r="A6" s="24">
        <v>3</v>
      </c>
      <c r="B6" s="25" t="str">
        <f>I!B6</f>
        <v>SPORTIELLO</v>
      </c>
      <c r="C6" s="26">
        <f>I!C6</f>
        <v>2</v>
      </c>
      <c r="D6" s="32"/>
      <c r="E6" s="29" t="str">
        <f>I!D6</f>
        <v>BERISHA E</v>
      </c>
      <c r="F6" s="26">
        <f>I!E6</f>
        <v>11</v>
      </c>
      <c r="G6" s="32"/>
      <c r="H6" s="29" t="str">
        <f>I!F6</f>
        <v>MARCHETTI</v>
      </c>
      <c r="I6" s="26">
        <f>I!G6</f>
        <v>12</v>
      </c>
      <c r="J6" s="32"/>
      <c r="K6" s="29">
        <f>I!H6</f>
        <v>0</v>
      </c>
      <c r="L6" s="26">
        <f>I!I6</f>
        <v>1</v>
      </c>
      <c r="M6" s="32"/>
      <c r="N6" s="105">
        <f>I!J6</f>
        <v>0</v>
      </c>
      <c r="O6" s="26">
        <f>I!K6</f>
        <v>1</v>
      </c>
      <c r="P6" s="32">
        <v>5</v>
      </c>
      <c r="Q6" s="29">
        <f>I!L6</f>
        <v>0</v>
      </c>
      <c r="R6" s="26">
        <f>I!M6</f>
        <v>1</v>
      </c>
      <c r="S6" s="32"/>
      <c r="T6" s="29">
        <f>I!N6</f>
        <v>0</v>
      </c>
      <c r="U6" s="26">
        <f>I!O6</f>
        <v>1</v>
      </c>
      <c r="V6" s="32"/>
      <c r="W6" s="29">
        <f>I!P6</f>
        <v>0</v>
      </c>
      <c r="X6" s="26">
        <f>I!Q6</f>
        <v>4</v>
      </c>
      <c r="Y6" s="32"/>
      <c r="Z6" s="42">
        <f>I!R6</f>
        <v>0</v>
      </c>
      <c r="AA6" s="26">
        <f>I!S6</f>
        <v>1</v>
      </c>
      <c r="AB6" s="68"/>
      <c r="AC6" s="42">
        <f>I!T6</f>
        <v>0</v>
      </c>
      <c r="AD6" s="26">
        <f>I!U6</f>
        <v>1</v>
      </c>
      <c r="AE6" s="68"/>
    </row>
    <row r="7" spans="1:32" s="28" customFormat="1" x14ac:dyDescent="0.25">
      <c r="A7" s="24" t="s">
        <v>19</v>
      </c>
      <c r="B7" s="81"/>
      <c r="C7" s="82"/>
      <c r="D7" s="83"/>
      <c r="E7" s="81" t="s">
        <v>239</v>
      </c>
      <c r="F7" s="82"/>
      <c r="G7" s="83">
        <v>2</v>
      </c>
      <c r="H7" s="81" t="s">
        <v>605</v>
      </c>
      <c r="I7" s="82"/>
      <c r="J7" s="83">
        <v>1</v>
      </c>
      <c r="K7" s="81"/>
      <c r="L7" s="82"/>
      <c r="M7" s="83"/>
      <c r="N7" s="81" t="s">
        <v>107</v>
      </c>
      <c r="O7" s="82"/>
      <c r="P7" s="83">
        <v>1</v>
      </c>
      <c r="Q7" s="81"/>
      <c r="R7" s="82"/>
      <c r="S7" s="83"/>
      <c r="T7" s="81"/>
      <c r="U7" s="82"/>
      <c r="V7" s="83"/>
      <c r="W7" s="81"/>
      <c r="X7" s="82"/>
      <c r="Y7" s="90"/>
      <c r="Z7" s="92"/>
      <c r="AA7" s="82"/>
      <c r="AB7" s="93"/>
      <c r="AC7" s="92"/>
      <c r="AD7" s="82"/>
      <c r="AE7" s="93"/>
    </row>
    <row r="8" spans="1:32" s="2" customFormat="1" x14ac:dyDescent="0.25">
      <c r="A8" s="30" t="s">
        <v>14</v>
      </c>
      <c r="B8" s="5"/>
      <c r="C8" s="12"/>
      <c r="D8" s="15">
        <f>SUM(D4:D6)-SUM(D7:D7)-SUM(C7:C7)</f>
        <v>0</v>
      </c>
      <c r="E8" s="5"/>
      <c r="F8" s="12"/>
      <c r="G8" s="15">
        <f>SUM(G4:G6)-SUM(G7:G7)-SUM(F7:F7)</f>
        <v>-1</v>
      </c>
      <c r="H8" s="5"/>
      <c r="I8" s="12"/>
      <c r="J8" s="15">
        <f>SUM(J4:J6)-SUM(J7:J7)-SUM(I7:I7)</f>
        <v>0</v>
      </c>
      <c r="K8" s="5"/>
      <c r="L8" s="12"/>
      <c r="M8" s="15">
        <f>SUM(M4:M6)-SUM(M7:M7)-SUM(L7:L7)</f>
        <v>0</v>
      </c>
      <c r="N8" s="5"/>
      <c r="O8" s="12"/>
      <c r="P8" s="15">
        <f>SUM(P4:P6)-SUM(P7:P7)-SUM(O7:O7)</f>
        <v>4</v>
      </c>
      <c r="Q8" s="5"/>
      <c r="R8" s="12"/>
      <c r="S8" s="15">
        <f>SUM(S4:S6)-SUM(S7:S7)-SUM(R7:R7)</f>
        <v>0</v>
      </c>
      <c r="T8" s="5"/>
      <c r="U8" s="12"/>
      <c r="V8" s="15">
        <f>SUM(V4:V6)-SUM(V7:V7)-SUM(U7:U7)</f>
        <v>0</v>
      </c>
      <c r="W8" s="5"/>
      <c r="X8" s="12"/>
      <c r="Y8" s="15">
        <f>SUM(Y4:Y6)-SUM(Y7:Y7)-SUM(X7:X7)</f>
        <v>0</v>
      </c>
      <c r="Z8" s="21"/>
      <c r="AA8" s="12"/>
      <c r="AB8" s="67">
        <f>SUM(AB4:AB6)-SUM(AB7:AB7)-SUM(AA7:AA7)</f>
        <v>0</v>
      </c>
      <c r="AC8" s="21"/>
      <c r="AD8" s="12"/>
      <c r="AE8" s="67">
        <f>SUM(AE4:AE6)-SUM(AE7:AE7)-SUM(AD7:AD7)</f>
        <v>0</v>
      </c>
      <c r="AF8" s="28"/>
    </row>
    <row r="9" spans="1:32" s="2" customFormat="1" ht="20.399999999999999" thickBot="1" x14ac:dyDescent="0.45">
      <c r="A9" s="30"/>
      <c r="B9" s="4" t="s">
        <v>9</v>
      </c>
      <c r="C9" s="52"/>
      <c r="D9" s="38" t="s">
        <v>27</v>
      </c>
      <c r="E9" s="4" t="s">
        <v>9</v>
      </c>
      <c r="F9" s="52"/>
      <c r="G9" s="38" t="s">
        <v>27</v>
      </c>
      <c r="H9" s="4" t="s">
        <v>9</v>
      </c>
      <c r="I9" s="52"/>
      <c r="J9" s="38" t="s">
        <v>27</v>
      </c>
      <c r="K9" s="4" t="s">
        <v>9</v>
      </c>
      <c r="L9" s="52"/>
      <c r="M9" s="38" t="s">
        <v>27</v>
      </c>
      <c r="N9" s="4" t="s">
        <v>9</v>
      </c>
      <c r="O9" s="52"/>
      <c r="P9" s="38" t="s">
        <v>27</v>
      </c>
      <c r="Q9" s="4" t="s">
        <v>9</v>
      </c>
      <c r="R9" s="52"/>
      <c r="S9" s="38" t="s">
        <v>27</v>
      </c>
      <c r="T9" s="4" t="s">
        <v>9</v>
      </c>
      <c r="U9" s="52"/>
      <c r="V9" s="38" t="s">
        <v>27</v>
      </c>
      <c r="W9" s="4" t="s">
        <v>9</v>
      </c>
      <c r="X9" s="52"/>
      <c r="Y9" s="38" t="s">
        <v>27</v>
      </c>
      <c r="Z9" s="20" t="s">
        <v>9</v>
      </c>
      <c r="AA9" s="52"/>
      <c r="AB9" s="65" t="s">
        <v>27</v>
      </c>
      <c r="AC9" s="20" t="s">
        <v>9</v>
      </c>
      <c r="AD9" s="52"/>
      <c r="AE9" s="65" t="s">
        <v>27</v>
      </c>
      <c r="AF9" s="28"/>
    </row>
    <row r="10" spans="1:32" s="28" customFormat="1" ht="14.4" thickTop="1" x14ac:dyDescent="0.25">
      <c r="A10" s="24">
        <v>1</v>
      </c>
      <c r="B10" s="43" t="str">
        <f>I!B9</f>
        <v>KOULIBALY</v>
      </c>
      <c r="C10" s="26">
        <f>I!C9</f>
        <v>17</v>
      </c>
      <c r="D10" s="32"/>
      <c r="E10" s="43" t="str">
        <f>I!D9</f>
        <v>SKRINIAR</v>
      </c>
      <c r="F10" s="26">
        <f>I!E9</f>
        <v>22</v>
      </c>
      <c r="G10" s="32"/>
      <c r="H10" s="43" t="str">
        <f>I!F9</f>
        <v>HATEBOER</v>
      </c>
      <c r="I10" s="26">
        <f>I!G9</f>
        <v>4</v>
      </c>
      <c r="J10" s="32"/>
      <c r="K10" s="43">
        <f>I!H9</f>
        <v>0</v>
      </c>
      <c r="L10" s="26">
        <f>I!I9</f>
        <v>1</v>
      </c>
      <c r="M10" s="32"/>
      <c r="N10" s="43">
        <f>I!J9</f>
        <v>0</v>
      </c>
      <c r="O10" s="26">
        <f>I!K9</f>
        <v>21</v>
      </c>
      <c r="P10" s="32"/>
      <c r="Q10" s="43">
        <f>I!L9</f>
        <v>0</v>
      </c>
      <c r="R10" s="26">
        <f>I!M9</f>
        <v>13</v>
      </c>
      <c r="S10" s="32"/>
      <c r="T10" s="43">
        <f>I!N9</f>
        <v>0</v>
      </c>
      <c r="U10" s="26">
        <f>I!O9</f>
        <v>9</v>
      </c>
      <c r="V10" s="32"/>
      <c r="W10" s="43">
        <f>I!P9</f>
        <v>0</v>
      </c>
      <c r="X10" s="26">
        <f>I!Q9</f>
        <v>18</v>
      </c>
      <c r="Y10" s="32"/>
      <c r="Z10" s="44">
        <f>I!R9</f>
        <v>0</v>
      </c>
      <c r="AA10" s="26">
        <f>I!S9</f>
        <v>6</v>
      </c>
      <c r="AB10" s="68"/>
      <c r="AC10" s="44">
        <f>I!T9</f>
        <v>0</v>
      </c>
      <c r="AD10" s="26">
        <f>I!U9</f>
        <v>2</v>
      </c>
      <c r="AE10" s="68"/>
    </row>
    <row r="11" spans="1:32" s="28" customFormat="1" x14ac:dyDescent="0.25">
      <c r="A11" s="24">
        <v>2</v>
      </c>
      <c r="B11" s="43" t="str">
        <f>I!B10</f>
        <v>MASIELLO A</v>
      </c>
      <c r="C11" s="26">
        <f>I!C10</f>
        <v>9</v>
      </c>
      <c r="D11" s="32"/>
      <c r="E11" s="43" t="str">
        <f>I!D10</f>
        <v>FLORENZI</v>
      </c>
      <c r="F11" s="26">
        <f>I!E10</f>
        <v>14</v>
      </c>
      <c r="G11" s="32"/>
      <c r="H11" s="43" t="str">
        <f>I!F10</f>
        <v>DE SILVESTRI</v>
      </c>
      <c r="I11" s="26">
        <f>I!G10</f>
        <v>12</v>
      </c>
      <c r="J11" s="32"/>
      <c r="K11" s="43">
        <f>I!H10</f>
        <v>0</v>
      </c>
      <c r="L11" s="26">
        <f>I!I10</f>
        <v>2</v>
      </c>
      <c r="M11" s="32"/>
      <c r="N11" s="43">
        <f>I!J10</f>
        <v>0</v>
      </c>
      <c r="O11" s="26">
        <f>I!K10</f>
        <v>16</v>
      </c>
      <c r="P11" s="32"/>
      <c r="Q11" s="43">
        <f>I!L10</f>
        <v>0</v>
      </c>
      <c r="R11" s="26">
        <f>I!M10</f>
        <v>3</v>
      </c>
      <c r="S11" s="32"/>
      <c r="T11" s="43">
        <f>I!N10</f>
        <v>0</v>
      </c>
      <c r="U11" s="26">
        <f>I!O10</f>
        <v>9</v>
      </c>
      <c r="V11" s="32"/>
      <c r="W11" s="43">
        <f>I!P10</f>
        <v>0</v>
      </c>
      <c r="X11" s="26">
        <f>I!Q10</f>
        <v>7</v>
      </c>
      <c r="Y11" s="32"/>
      <c r="Z11" s="44">
        <f>I!R10</f>
        <v>0</v>
      </c>
      <c r="AA11" s="26">
        <f>I!S10</f>
        <v>10</v>
      </c>
      <c r="AB11" s="68"/>
      <c r="AC11" s="44">
        <f>I!T10</f>
        <v>0</v>
      </c>
      <c r="AD11" s="26">
        <f>I!U10</f>
        <v>16</v>
      </c>
      <c r="AE11" s="68"/>
    </row>
    <row r="12" spans="1:32" s="28" customFormat="1" x14ac:dyDescent="0.25">
      <c r="A12" s="24">
        <v>3</v>
      </c>
      <c r="B12" s="43" t="str">
        <f>I!B11</f>
        <v>CRISCITO</v>
      </c>
      <c r="C12" s="26">
        <f>I!C11</f>
        <v>6</v>
      </c>
      <c r="D12" s="32"/>
      <c r="E12" s="43" t="str">
        <f>I!D11</f>
        <v>N'KOULOU</v>
      </c>
      <c r="F12" s="26">
        <f>I!E11</f>
        <v>5</v>
      </c>
      <c r="G12" s="32"/>
      <c r="H12" s="43" t="str">
        <f>I!F11</f>
        <v>CONTI</v>
      </c>
      <c r="I12" s="26">
        <f>I!G11</f>
        <v>8</v>
      </c>
      <c r="J12" s="32"/>
      <c r="K12" s="43">
        <f>I!H11</f>
        <v>0</v>
      </c>
      <c r="L12" s="26">
        <f>I!I11</f>
        <v>1</v>
      </c>
      <c r="M12" s="32"/>
      <c r="N12" s="43">
        <f>I!J11</f>
        <v>0</v>
      </c>
      <c r="O12" s="26">
        <f>I!K11</f>
        <v>2</v>
      </c>
      <c r="P12" s="32"/>
      <c r="Q12" s="43">
        <f>I!L11</f>
        <v>0</v>
      </c>
      <c r="R12" s="26">
        <f>I!M11</f>
        <v>1</v>
      </c>
      <c r="S12" s="32"/>
      <c r="T12" s="43">
        <f>I!N11</f>
        <v>0</v>
      </c>
      <c r="U12" s="26">
        <f>I!O11</f>
        <v>19</v>
      </c>
      <c r="V12" s="32"/>
      <c r="W12" s="43">
        <f>I!P11</f>
        <v>0</v>
      </c>
      <c r="X12" s="26">
        <f>I!Q11</f>
        <v>1</v>
      </c>
      <c r="Y12" s="32"/>
      <c r="Z12" s="44">
        <f>I!R11</f>
        <v>0</v>
      </c>
      <c r="AA12" s="26">
        <f>I!S11</f>
        <v>6</v>
      </c>
      <c r="AB12" s="68"/>
      <c r="AC12" s="44">
        <f>I!T11</f>
        <v>0</v>
      </c>
      <c r="AD12" s="26">
        <f>I!U11</f>
        <v>10</v>
      </c>
      <c r="AE12" s="68"/>
    </row>
    <row r="13" spans="1:32" s="28" customFormat="1" x14ac:dyDescent="0.25">
      <c r="A13" s="24">
        <v>4</v>
      </c>
      <c r="B13" s="43" t="str">
        <f>I!B12</f>
        <v>CHIRICHES</v>
      </c>
      <c r="C13" s="26">
        <f>I!C12</f>
        <v>1</v>
      </c>
      <c r="D13" s="32"/>
      <c r="E13" s="43" t="str">
        <f>I!D12</f>
        <v>CEPPITELLI</v>
      </c>
      <c r="F13" s="26">
        <f>I!E12</f>
        <v>1</v>
      </c>
      <c r="G13" s="32"/>
      <c r="H13" s="43" t="str">
        <f>I!F12</f>
        <v>CALABRIA</v>
      </c>
      <c r="I13" s="26">
        <f>I!G12</f>
        <v>4</v>
      </c>
      <c r="J13" s="32"/>
      <c r="K13" s="43">
        <f>I!H12</f>
        <v>0</v>
      </c>
      <c r="L13" s="26">
        <f>I!I12</f>
        <v>9</v>
      </c>
      <c r="M13" s="32"/>
      <c r="N13" s="43">
        <f>I!J12</f>
        <v>0</v>
      </c>
      <c r="O13" s="26">
        <f>I!K12</f>
        <v>5</v>
      </c>
      <c r="P13" s="32"/>
      <c r="Q13" s="43">
        <f>I!L12</f>
        <v>0</v>
      </c>
      <c r="R13" s="26">
        <f>I!M12</f>
        <v>5</v>
      </c>
      <c r="S13" s="32"/>
      <c r="T13" s="43">
        <f>I!N12</f>
        <v>0</v>
      </c>
      <c r="U13" s="26">
        <f>I!O12</f>
        <v>18</v>
      </c>
      <c r="V13" s="32"/>
      <c r="W13" s="43">
        <f>I!P12</f>
        <v>0</v>
      </c>
      <c r="X13" s="26">
        <f>I!Q12</f>
        <v>1</v>
      </c>
      <c r="Y13" s="32"/>
      <c r="Z13" s="44">
        <f>I!R12</f>
        <v>0</v>
      </c>
      <c r="AA13" s="26">
        <f>I!S12</f>
        <v>9</v>
      </c>
      <c r="AB13" s="68"/>
      <c r="AC13" s="44">
        <f>I!T12</f>
        <v>0</v>
      </c>
      <c r="AD13" s="26">
        <f>I!U12</f>
        <v>1</v>
      </c>
      <c r="AE13" s="68"/>
    </row>
    <row r="14" spans="1:32" s="28" customFormat="1" x14ac:dyDescent="0.25">
      <c r="A14" s="24">
        <v>5</v>
      </c>
      <c r="B14" s="43" t="str">
        <f>I!B13</f>
        <v>LUKAKU J</v>
      </c>
      <c r="C14" s="26">
        <f>I!C13</f>
        <v>1</v>
      </c>
      <c r="D14" s="32"/>
      <c r="E14" s="43" t="str">
        <f>I!D13</f>
        <v>CACCIATORE</v>
      </c>
      <c r="F14" s="26">
        <f>I!E13</f>
        <v>2</v>
      </c>
      <c r="G14" s="32"/>
      <c r="H14" s="43" t="str">
        <f>I!F13</f>
        <v>MANCINI G</v>
      </c>
      <c r="I14" s="26">
        <f>I!G13</f>
        <v>1</v>
      </c>
      <c r="J14" s="32"/>
      <c r="K14" s="43">
        <f>I!H13</f>
        <v>0</v>
      </c>
      <c r="L14" s="26">
        <f>I!I13</f>
        <v>4</v>
      </c>
      <c r="M14" s="32"/>
      <c r="N14" s="43">
        <f>I!J13</f>
        <v>0</v>
      </c>
      <c r="O14" s="26">
        <f>I!K13</f>
        <v>2</v>
      </c>
      <c r="P14" s="32"/>
      <c r="Q14" s="43">
        <f>I!L13</f>
        <v>0</v>
      </c>
      <c r="R14" s="26">
        <f>I!M13</f>
        <v>2</v>
      </c>
      <c r="S14" s="32"/>
      <c r="T14" s="43">
        <f>I!N13</f>
        <v>0</v>
      </c>
      <c r="U14" s="26">
        <f>I!O13</f>
        <v>4</v>
      </c>
      <c r="V14" s="32"/>
      <c r="W14" s="43">
        <f>I!P13</f>
        <v>0</v>
      </c>
      <c r="X14" s="26">
        <f>I!Q13</f>
        <v>1</v>
      </c>
      <c r="Y14" s="32"/>
      <c r="Z14" s="108">
        <f>I!R13</f>
        <v>0</v>
      </c>
      <c r="AA14" s="26">
        <f>I!S13</f>
        <v>1</v>
      </c>
      <c r="AB14" s="68">
        <v>5</v>
      </c>
      <c r="AC14" s="44">
        <f>I!T13</f>
        <v>0</v>
      </c>
      <c r="AD14" s="26">
        <f>I!U13</f>
        <v>1</v>
      </c>
      <c r="AE14" s="68"/>
    </row>
    <row r="15" spans="1:32" s="28" customFormat="1" x14ac:dyDescent="0.25">
      <c r="A15" s="24">
        <v>6</v>
      </c>
      <c r="B15" s="43" t="str">
        <f>I!B14</f>
        <v>BASTOS</v>
      </c>
      <c r="C15" s="26">
        <f>I!C14</f>
        <v>1</v>
      </c>
      <c r="D15" s="32"/>
      <c r="E15" s="43" t="str">
        <f>I!D14</f>
        <v>RODRIGUEZ R</v>
      </c>
      <c r="F15" s="26">
        <f>I!E14</f>
        <v>1</v>
      </c>
      <c r="G15" s="32"/>
      <c r="H15" s="43" t="str">
        <f>I!F14</f>
        <v>GHOULAM</v>
      </c>
      <c r="I15" s="26">
        <f>I!G14</f>
        <v>5</v>
      </c>
      <c r="J15" s="32"/>
      <c r="K15" s="43">
        <f>I!H14</f>
        <v>0</v>
      </c>
      <c r="L15" s="26">
        <f>I!I14</f>
        <v>1</v>
      </c>
      <c r="M15" s="32"/>
      <c r="N15" s="43">
        <f>I!J14</f>
        <v>0</v>
      </c>
      <c r="O15" s="26">
        <f>I!K14</f>
        <v>1</v>
      </c>
      <c r="P15" s="32"/>
      <c r="Q15" s="43">
        <f>I!L14</f>
        <v>0</v>
      </c>
      <c r="R15" s="26">
        <f>I!M14</f>
        <v>1</v>
      </c>
      <c r="S15" s="32"/>
      <c r="T15" s="43">
        <f>I!N14</f>
        <v>0</v>
      </c>
      <c r="U15" s="26">
        <f>I!O14</f>
        <v>2</v>
      </c>
      <c r="V15" s="32"/>
      <c r="W15" s="43">
        <f>I!P14</f>
        <v>0</v>
      </c>
      <c r="X15" s="26">
        <f>I!Q14</f>
        <v>1</v>
      </c>
      <c r="Y15" s="32"/>
      <c r="Z15" s="44">
        <f>I!R14</f>
        <v>0</v>
      </c>
      <c r="AA15" s="26">
        <f>I!S14</f>
        <v>1</v>
      </c>
      <c r="AB15" s="68"/>
      <c r="AC15" s="44">
        <f>I!T14</f>
        <v>0</v>
      </c>
      <c r="AD15" s="26">
        <f>I!U14</f>
        <v>1</v>
      </c>
      <c r="AE15" s="68"/>
    </row>
    <row r="16" spans="1:32" s="28" customFormat="1" x14ac:dyDescent="0.25">
      <c r="A16" s="24">
        <v>7</v>
      </c>
      <c r="B16" s="43" t="str">
        <f>I!B15</f>
        <v>SILVESTRE</v>
      </c>
      <c r="C16" s="26">
        <f>I!C15</f>
        <v>1</v>
      </c>
      <c r="D16" s="32"/>
      <c r="E16" s="43" t="str">
        <f>I!D15</f>
        <v>PELUSO</v>
      </c>
      <c r="F16" s="26">
        <f>I!E15</f>
        <v>1</v>
      </c>
      <c r="G16" s="32"/>
      <c r="H16" s="43" t="str">
        <f>I!F15</f>
        <v>MARIO RUI</v>
      </c>
      <c r="I16" s="26">
        <f>I!G15</f>
        <v>1</v>
      </c>
      <c r="J16" s="32"/>
      <c r="K16" s="43">
        <f>I!H15</f>
        <v>0</v>
      </c>
      <c r="L16" s="26">
        <f>I!I15</f>
        <v>3</v>
      </c>
      <c r="M16" s="32"/>
      <c r="N16" s="43">
        <f>I!J15</f>
        <v>0</v>
      </c>
      <c r="O16" s="26">
        <f>I!K15</f>
        <v>3</v>
      </c>
      <c r="P16" s="32"/>
      <c r="Q16" s="43">
        <f>I!L15</f>
        <v>0</v>
      </c>
      <c r="R16" s="26">
        <f>I!M15</f>
        <v>2</v>
      </c>
      <c r="S16" s="32"/>
      <c r="T16" s="43">
        <f>I!N15</f>
        <v>0</v>
      </c>
      <c r="U16" s="26">
        <f>I!O15</f>
        <v>3</v>
      </c>
      <c r="V16" s="32"/>
      <c r="W16" s="43">
        <f>I!P15</f>
        <v>0</v>
      </c>
      <c r="X16" s="26">
        <f>I!Q15</f>
        <v>1</v>
      </c>
      <c r="Y16" s="32"/>
      <c r="Z16" s="44">
        <f>I!R15</f>
        <v>0</v>
      </c>
      <c r="AA16" s="26">
        <f>I!S15</f>
        <v>1</v>
      </c>
      <c r="AB16" s="68"/>
      <c r="AC16" s="44">
        <f>I!T15</f>
        <v>0</v>
      </c>
      <c r="AD16" s="26">
        <f>I!U15</f>
        <v>1</v>
      </c>
      <c r="AE16" s="68"/>
    </row>
    <row r="17" spans="1:31" s="28" customFormat="1" x14ac:dyDescent="0.25">
      <c r="A17" s="24">
        <v>8</v>
      </c>
      <c r="B17" s="43" t="str">
        <f>I!B16</f>
        <v>BASTONI</v>
      </c>
      <c r="C17" s="26">
        <f>I!C16</f>
        <v>1</v>
      </c>
      <c r="D17" s="32"/>
      <c r="E17" s="43" t="str">
        <f>I!D16</f>
        <v>D'AMBROSIO</v>
      </c>
      <c r="F17" s="26">
        <f>I!E16</f>
        <v>1</v>
      </c>
      <c r="G17" s="32"/>
      <c r="H17" s="43" t="str">
        <f>I!F16</f>
        <v>PALOMINO</v>
      </c>
      <c r="I17" s="26">
        <f>I!G16</f>
        <v>3</v>
      </c>
      <c r="J17" s="32"/>
      <c r="K17" s="43">
        <f>I!H16</f>
        <v>0</v>
      </c>
      <c r="L17" s="26">
        <f>I!I16</f>
        <v>3</v>
      </c>
      <c r="M17" s="32"/>
      <c r="N17" s="43">
        <f>I!J16</f>
        <v>0</v>
      </c>
      <c r="O17" s="26">
        <f>I!K16</f>
        <v>1</v>
      </c>
      <c r="P17" s="32"/>
      <c r="Q17" s="43">
        <f>I!L16</f>
        <v>0</v>
      </c>
      <c r="R17" s="26">
        <f>I!M16</f>
        <v>1</v>
      </c>
      <c r="S17" s="32"/>
      <c r="T17" s="43">
        <f>I!N16</f>
        <v>0</v>
      </c>
      <c r="U17" s="26">
        <f>I!O16</f>
        <v>4</v>
      </c>
      <c r="V17" s="32"/>
      <c r="W17" s="43">
        <f>I!P16</f>
        <v>0</v>
      </c>
      <c r="X17" s="26">
        <f>I!Q16</f>
        <v>1</v>
      </c>
      <c r="Y17" s="32"/>
      <c r="Z17" s="44">
        <f>I!R16</f>
        <v>0</v>
      </c>
      <c r="AA17" s="26">
        <f>I!S16</f>
        <v>1</v>
      </c>
      <c r="AB17" s="68"/>
      <c r="AC17" s="44">
        <f>I!T16</f>
        <v>0</v>
      </c>
      <c r="AD17" s="26">
        <f>I!U16</f>
        <v>1</v>
      </c>
      <c r="AE17" s="68"/>
    </row>
    <row r="18" spans="1:31" x14ac:dyDescent="0.25">
      <c r="A18" s="23" t="s">
        <v>19</v>
      </c>
      <c r="B18" s="85" t="s">
        <v>325</v>
      </c>
      <c r="C18" s="86"/>
      <c r="D18" s="83">
        <v>1</v>
      </c>
      <c r="E18" s="85"/>
      <c r="F18" s="86"/>
      <c r="G18" s="83"/>
      <c r="H18" s="85"/>
      <c r="I18" s="86"/>
      <c r="J18" s="83"/>
      <c r="K18" s="85"/>
      <c r="L18" s="86"/>
      <c r="M18" s="83"/>
      <c r="N18" s="85"/>
      <c r="O18" s="86"/>
      <c r="P18" s="83"/>
      <c r="Q18" s="85"/>
      <c r="R18" s="86"/>
      <c r="S18" s="83"/>
      <c r="T18" s="85"/>
      <c r="U18" s="86"/>
      <c r="V18" s="83"/>
      <c r="W18" s="85"/>
      <c r="X18" s="86"/>
      <c r="Y18" s="90"/>
      <c r="Z18" s="94" t="s">
        <v>522</v>
      </c>
      <c r="AA18" s="86"/>
      <c r="AB18" s="93">
        <v>1</v>
      </c>
      <c r="AC18" s="94"/>
      <c r="AD18" s="86"/>
      <c r="AE18" s="93"/>
    </row>
    <row r="19" spans="1:31" x14ac:dyDescent="0.25">
      <c r="A19" s="23" t="s">
        <v>20</v>
      </c>
      <c r="B19" s="6"/>
      <c r="D19" s="41"/>
      <c r="E19" s="6"/>
      <c r="G19" s="41"/>
      <c r="H19" s="6"/>
      <c r="J19" s="41"/>
      <c r="K19" s="6"/>
      <c r="M19" s="41"/>
      <c r="N19" s="6"/>
      <c r="P19" s="41"/>
      <c r="Q19" s="6"/>
      <c r="S19" s="41"/>
      <c r="T19" s="6"/>
      <c r="V19" s="41"/>
      <c r="W19" s="6"/>
      <c r="Y19" s="41"/>
      <c r="Z19" s="22"/>
      <c r="AB19" s="66"/>
      <c r="AC19" s="22"/>
      <c r="AE19" s="66"/>
    </row>
    <row r="20" spans="1:31" s="2" customFormat="1" x14ac:dyDescent="0.25">
      <c r="A20" s="30" t="s">
        <v>15</v>
      </c>
      <c r="B20" s="5"/>
      <c r="C20" s="12"/>
      <c r="D20" s="15">
        <f>SUM(D10:D17)-SUM(D18:D19)-SUM(C18:C19)</f>
        <v>-1</v>
      </c>
      <c r="E20" s="5"/>
      <c r="F20" s="12"/>
      <c r="G20" s="15">
        <f>SUM(G10:G17)-SUM(G18:G19)-SUM(F18:F19)</f>
        <v>0</v>
      </c>
      <c r="H20" s="5"/>
      <c r="I20" s="12"/>
      <c r="J20" s="15">
        <f>SUM(J10:J17)-SUM(J18:J19)-SUM(I18:I19)</f>
        <v>0</v>
      </c>
      <c r="K20" s="5"/>
      <c r="L20" s="12"/>
      <c r="M20" s="15">
        <f>SUM(M10:M17)-SUM(M18:M19)-SUM(L18:L19)</f>
        <v>0</v>
      </c>
      <c r="N20" s="5"/>
      <c r="O20" s="12"/>
      <c r="P20" s="15">
        <f>SUM(P10:P17)-SUM(P18:P19)-SUM(O18:O19)</f>
        <v>0</v>
      </c>
      <c r="Q20" s="5"/>
      <c r="R20" s="12"/>
      <c r="S20" s="15">
        <f>SUM(S10:S17)-SUM(S18:S19)-SUM(R18:R19)</f>
        <v>0</v>
      </c>
      <c r="T20" s="5"/>
      <c r="U20" s="12"/>
      <c r="V20" s="15">
        <f>SUM(V10:V17)-SUM(V18:V19)-SUM(U18:U19)</f>
        <v>0</v>
      </c>
      <c r="W20" s="5"/>
      <c r="X20" s="12"/>
      <c r="Y20" s="15">
        <f>SUM(Y10:Y17)-SUM(Y18:Y19)-SUM(X18:X19)</f>
        <v>0</v>
      </c>
      <c r="Z20" s="21"/>
      <c r="AA20" s="12"/>
      <c r="AB20" s="67">
        <f>SUM(AB10:AB17)-SUM(AB18:AB19)-SUM(AA18:AA19)</f>
        <v>4</v>
      </c>
      <c r="AC20" s="21"/>
      <c r="AD20" s="12"/>
      <c r="AE20" s="67">
        <f>SUM(AE10:AE17)-SUM(AE18:AE19)-SUM(AD18:AD19)</f>
        <v>0</v>
      </c>
    </row>
    <row r="21" spans="1:31" s="2" customFormat="1" ht="20.399999999999999" thickBot="1" x14ac:dyDescent="0.45">
      <c r="A21" s="30"/>
      <c r="B21" s="4" t="s">
        <v>10</v>
      </c>
      <c r="C21" s="52"/>
      <c r="D21" s="38" t="s">
        <v>27</v>
      </c>
      <c r="E21" s="4" t="s">
        <v>10</v>
      </c>
      <c r="F21" s="52"/>
      <c r="G21" s="38" t="s">
        <v>27</v>
      </c>
      <c r="H21" s="4" t="s">
        <v>10</v>
      </c>
      <c r="I21" s="52"/>
      <c r="J21" s="38" t="s">
        <v>27</v>
      </c>
      <c r="K21" s="4" t="s">
        <v>10</v>
      </c>
      <c r="L21" s="52"/>
      <c r="M21" s="38" t="s">
        <v>27</v>
      </c>
      <c r="N21" s="4" t="s">
        <v>10</v>
      </c>
      <c r="O21" s="52"/>
      <c r="P21" s="38" t="s">
        <v>27</v>
      </c>
      <c r="Q21" s="4" t="s">
        <v>10</v>
      </c>
      <c r="R21" s="52"/>
      <c r="S21" s="38" t="s">
        <v>27</v>
      </c>
      <c r="T21" s="4" t="s">
        <v>10</v>
      </c>
      <c r="U21" s="52"/>
      <c r="V21" s="38" t="s">
        <v>27</v>
      </c>
      <c r="W21" s="4" t="s">
        <v>10</v>
      </c>
      <c r="X21" s="52"/>
      <c r="Y21" s="38" t="s">
        <v>27</v>
      </c>
      <c r="Z21" s="20" t="s">
        <v>10</v>
      </c>
      <c r="AA21" s="52"/>
      <c r="AB21" s="65" t="s">
        <v>27</v>
      </c>
      <c r="AC21" s="20" t="s">
        <v>10</v>
      </c>
      <c r="AD21" s="52"/>
      <c r="AE21" s="65" t="s">
        <v>27</v>
      </c>
    </row>
    <row r="22" spans="1:31" s="28" customFormat="1" ht="14.4" thickTop="1" x14ac:dyDescent="0.25">
      <c r="A22" s="24">
        <v>1</v>
      </c>
      <c r="B22" s="45" t="str">
        <f>I!B19</f>
        <v>CASTRO</v>
      </c>
      <c r="C22" s="26">
        <f>I!C19</f>
        <v>1</v>
      </c>
      <c r="D22" s="32"/>
      <c r="E22" s="45" t="str">
        <f>I!D19</f>
        <v>MILINKOVIC-SAVIC</v>
      </c>
      <c r="F22" s="26">
        <f>I!E19</f>
        <v>40</v>
      </c>
      <c r="G22" s="32"/>
      <c r="H22" s="45" t="str">
        <f>I!F19</f>
        <v>PASALIC</v>
      </c>
      <c r="I22" s="26">
        <f>I!G19</f>
        <v>8</v>
      </c>
      <c r="J22" s="32"/>
      <c r="K22" s="45">
        <f>I!H19</f>
        <v>0</v>
      </c>
      <c r="L22" s="26">
        <f>I!I19</f>
        <v>20</v>
      </c>
      <c r="M22" s="32"/>
      <c r="N22" s="45">
        <f>I!J19</f>
        <v>0</v>
      </c>
      <c r="O22" s="26">
        <f>I!K19</f>
        <v>29</v>
      </c>
      <c r="P22" s="32"/>
      <c r="Q22" s="45">
        <f>I!L19</f>
        <v>0</v>
      </c>
      <c r="R22" s="26">
        <f>I!M19</f>
        <v>7</v>
      </c>
      <c r="S22" s="32"/>
      <c r="T22" s="45">
        <f>I!N19</f>
        <v>0</v>
      </c>
      <c r="U22" s="26">
        <f>I!O19</f>
        <v>1</v>
      </c>
      <c r="V22" s="32"/>
      <c r="W22" s="45">
        <f>I!P19</f>
        <v>0</v>
      </c>
      <c r="X22" s="26">
        <f>I!Q19</f>
        <v>33</v>
      </c>
      <c r="Y22" s="32"/>
      <c r="Z22" s="46">
        <f>I!R19</f>
        <v>0</v>
      </c>
      <c r="AA22" s="26">
        <f>I!S19</f>
        <v>27</v>
      </c>
      <c r="AB22" s="68"/>
      <c r="AC22" s="46">
        <f>I!T19</f>
        <v>0</v>
      </c>
      <c r="AD22" s="26">
        <f>I!U19</f>
        <v>13</v>
      </c>
      <c r="AE22" s="68"/>
    </row>
    <row r="23" spans="1:31" s="28" customFormat="1" x14ac:dyDescent="0.25">
      <c r="A23" s="24">
        <v>2</v>
      </c>
      <c r="B23" s="45" t="str">
        <f>I!B20</f>
        <v>BROZOVIC</v>
      </c>
      <c r="C23" s="26">
        <f>I!C20</f>
        <v>11</v>
      </c>
      <c r="D23" s="32"/>
      <c r="E23" s="45" t="str">
        <f>I!D20</f>
        <v>CUADRADO</v>
      </c>
      <c r="F23" s="26">
        <f>I!E20</f>
        <v>32</v>
      </c>
      <c r="G23" s="32"/>
      <c r="H23" s="45" t="str">
        <f>I!F20</f>
        <v>NAINGGOLAN</v>
      </c>
      <c r="I23" s="26">
        <f>I!G20</f>
        <v>32</v>
      </c>
      <c r="J23" s="32"/>
      <c r="K23" s="45">
        <f>I!H20</f>
        <v>0</v>
      </c>
      <c r="L23" s="26">
        <f>I!I20</f>
        <v>19</v>
      </c>
      <c r="M23" s="32"/>
      <c r="N23" s="45">
        <f>I!J20</f>
        <v>0</v>
      </c>
      <c r="O23" s="26">
        <f>I!K20</f>
        <v>5</v>
      </c>
      <c r="P23" s="32"/>
      <c r="Q23" s="45">
        <f>I!L20</f>
        <v>0</v>
      </c>
      <c r="R23" s="26">
        <f>I!M20</f>
        <v>29</v>
      </c>
      <c r="S23" s="32"/>
      <c r="T23" s="45">
        <f>I!N20</f>
        <v>0</v>
      </c>
      <c r="U23" s="26">
        <f>I!O20</f>
        <v>8</v>
      </c>
      <c r="V23" s="32"/>
      <c r="W23" s="45">
        <f>I!P20</f>
        <v>0</v>
      </c>
      <c r="X23" s="26">
        <f>I!Q20</f>
        <v>2</v>
      </c>
      <c r="Y23" s="32"/>
      <c r="Z23" s="46">
        <f>I!R20</f>
        <v>0</v>
      </c>
      <c r="AA23" s="26">
        <f>I!S20</f>
        <v>12</v>
      </c>
      <c r="AB23" s="68"/>
      <c r="AC23" s="46">
        <f>I!T20</f>
        <v>0</v>
      </c>
      <c r="AD23" s="26">
        <f>I!U20</f>
        <v>9</v>
      </c>
      <c r="AE23" s="68"/>
    </row>
    <row r="24" spans="1:31" s="28" customFormat="1" x14ac:dyDescent="0.25">
      <c r="A24" s="24">
        <v>3</v>
      </c>
      <c r="B24" s="45" t="str">
        <f>I!B21</f>
        <v>DOUGLAS COSTA</v>
      </c>
      <c r="C24" s="26">
        <f>I!C21</f>
        <v>28</v>
      </c>
      <c r="D24" s="32"/>
      <c r="E24" s="45" t="str">
        <f>I!D21</f>
        <v>BERNARDESCHI</v>
      </c>
      <c r="F24" s="26">
        <f>I!E21</f>
        <v>27</v>
      </c>
      <c r="G24" s="32"/>
      <c r="H24" s="45" t="str">
        <f>I!F21</f>
        <v>VERDI</v>
      </c>
      <c r="I24" s="26">
        <f>I!G21</f>
        <v>19</v>
      </c>
      <c r="J24" s="32"/>
      <c r="K24" s="45">
        <f>I!H21</f>
        <v>0</v>
      </c>
      <c r="L24" s="26">
        <f>I!I21</f>
        <v>16</v>
      </c>
      <c r="M24" s="32"/>
      <c r="N24" s="45">
        <f>I!J21</f>
        <v>0</v>
      </c>
      <c r="O24" s="26">
        <f>I!K21</f>
        <v>4</v>
      </c>
      <c r="P24" s="32"/>
      <c r="Q24" s="45">
        <f>I!L21</f>
        <v>0</v>
      </c>
      <c r="R24" s="26">
        <f>I!M21</f>
        <v>6</v>
      </c>
      <c r="S24" s="32"/>
      <c r="T24" s="45">
        <f>I!N21</f>
        <v>0</v>
      </c>
      <c r="U24" s="26">
        <f>I!O21</f>
        <v>2</v>
      </c>
      <c r="V24" s="32"/>
      <c r="W24" s="45">
        <f>I!P21</f>
        <v>0</v>
      </c>
      <c r="X24" s="26">
        <f>I!Q21</f>
        <v>3</v>
      </c>
      <c r="Y24" s="32"/>
      <c r="Z24" s="46">
        <f>I!R21</f>
        <v>0</v>
      </c>
      <c r="AA24" s="26">
        <f>I!S21</f>
        <v>1</v>
      </c>
      <c r="AB24" s="68"/>
      <c r="AC24" s="46">
        <f>I!T21</f>
        <v>0</v>
      </c>
      <c r="AD24" s="26">
        <f>I!U21</f>
        <v>2</v>
      </c>
      <c r="AE24" s="68"/>
    </row>
    <row r="25" spans="1:31" s="28" customFormat="1" x14ac:dyDescent="0.25">
      <c r="A25" s="24">
        <v>4</v>
      </c>
      <c r="B25" s="45" t="str">
        <f>I!B22</f>
        <v>KHEDIRA</v>
      </c>
      <c r="C25" s="26">
        <f>I!C22</f>
        <v>12</v>
      </c>
      <c r="D25" s="32"/>
      <c r="E25" s="45" t="str">
        <f>I!D22</f>
        <v>PRAET</v>
      </c>
      <c r="F25" s="26">
        <f>I!E22</f>
        <v>1</v>
      </c>
      <c r="G25" s="32"/>
      <c r="H25" s="45" t="str">
        <f>I!F22</f>
        <v>SAPONARA</v>
      </c>
      <c r="I25" s="26">
        <f>I!G22</f>
        <v>3</v>
      </c>
      <c r="J25" s="32"/>
      <c r="K25" s="45">
        <f>I!H22</f>
        <v>0</v>
      </c>
      <c r="L25" s="26">
        <f>I!I22</f>
        <v>2</v>
      </c>
      <c r="M25" s="32"/>
      <c r="N25" s="45">
        <f>I!J22</f>
        <v>0</v>
      </c>
      <c r="O25" s="26">
        <f>I!K22</f>
        <v>3</v>
      </c>
      <c r="P25" s="32"/>
      <c r="Q25" s="45">
        <f>I!L22</f>
        <v>0</v>
      </c>
      <c r="R25" s="26">
        <f>I!M22</f>
        <v>9</v>
      </c>
      <c r="S25" s="32"/>
      <c r="T25" s="45">
        <f>I!N22</f>
        <v>0</v>
      </c>
      <c r="U25" s="26">
        <f>I!O22</f>
        <v>22</v>
      </c>
      <c r="V25" s="32"/>
      <c r="W25" s="45">
        <f>I!P22</f>
        <v>0</v>
      </c>
      <c r="X25" s="26">
        <f>I!Q22</f>
        <v>1</v>
      </c>
      <c r="Y25" s="32"/>
      <c r="Z25" s="46">
        <f>I!R22</f>
        <v>0</v>
      </c>
      <c r="AA25" s="26">
        <f>I!S22</f>
        <v>2</v>
      </c>
      <c r="AB25" s="68"/>
      <c r="AC25" s="46">
        <f>I!T22</f>
        <v>0</v>
      </c>
      <c r="AD25" s="26">
        <f>I!U22</f>
        <v>7</v>
      </c>
      <c r="AE25" s="68"/>
    </row>
    <row r="26" spans="1:31" s="28" customFormat="1" x14ac:dyDescent="0.25">
      <c r="A26" s="24">
        <v>5</v>
      </c>
      <c r="B26" s="45" t="str">
        <f>I!B23</f>
        <v>ILICIC</v>
      </c>
      <c r="C26" s="26">
        <f>I!C23</f>
        <v>18</v>
      </c>
      <c r="D26" s="32"/>
      <c r="E26" s="45" t="str">
        <f>I!D23</f>
        <v>GIACCHERINI</v>
      </c>
      <c r="F26" s="26">
        <f>I!E23</f>
        <v>7</v>
      </c>
      <c r="G26" s="32"/>
      <c r="H26" s="45" t="str">
        <f>I!F23</f>
        <v>BASELLI</v>
      </c>
      <c r="I26" s="26">
        <f>I!G23</f>
        <v>4</v>
      </c>
      <c r="J26" s="32"/>
      <c r="K26" s="45">
        <f>I!H23</f>
        <v>0</v>
      </c>
      <c r="L26" s="26">
        <f>I!I23</f>
        <v>1</v>
      </c>
      <c r="M26" s="32"/>
      <c r="N26" s="45">
        <f>I!J23</f>
        <v>0</v>
      </c>
      <c r="O26" s="26">
        <f>I!K23</f>
        <v>3</v>
      </c>
      <c r="P26" s="32"/>
      <c r="Q26" s="45">
        <f>I!L23</f>
        <v>0</v>
      </c>
      <c r="R26" s="26">
        <f>I!M23</f>
        <v>2</v>
      </c>
      <c r="S26" s="32"/>
      <c r="T26" s="45">
        <f>I!N23</f>
        <v>0</v>
      </c>
      <c r="U26" s="26">
        <f>I!O23</f>
        <v>8</v>
      </c>
      <c r="V26" s="32"/>
      <c r="W26" s="45">
        <f>I!P23</f>
        <v>0</v>
      </c>
      <c r="X26" s="26">
        <f>I!Q23</f>
        <v>1</v>
      </c>
      <c r="Y26" s="32"/>
      <c r="Z26" s="46">
        <f>I!R23</f>
        <v>0</v>
      </c>
      <c r="AA26" s="26">
        <f>I!S23</f>
        <v>11</v>
      </c>
      <c r="AB26" s="68"/>
      <c r="AC26" s="46">
        <f>I!T23</f>
        <v>0</v>
      </c>
      <c r="AD26" s="26">
        <f>I!U23</f>
        <v>1</v>
      </c>
      <c r="AE26" s="68"/>
    </row>
    <row r="27" spans="1:31" s="28" customFormat="1" x14ac:dyDescent="0.25">
      <c r="A27" s="24">
        <v>6</v>
      </c>
      <c r="B27" s="45" t="str">
        <f>I!B24</f>
        <v>LAZZARI M</v>
      </c>
      <c r="C27" s="26">
        <f>I!C24</f>
        <v>1</v>
      </c>
      <c r="D27" s="32"/>
      <c r="E27" s="45" t="str">
        <f>I!D24</f>
        <v>BESSA</v>
      </c>
      <c r="F27" s="26">
        <f>I!E24</f>
        <v>1</v>
      </c>
      <c r="G27" s="32"/>
      <c r="H27" s="45" t="str">
        <f>I!F24</f>
        <v>CALHANOGLU</v>
      </c>
      <c r="I27" s="26">
        <f>I!G24</f>
        <v>12</v>
      </c>
      <c r="J27" s="32"/>
      <c r="K27" s="45">
        <f>I!H24</f>
        <v>0</v>
      </c>
      <c r="L27" s="26">
        <f>I!I24</f>
        <v>6</v>
      </c>
      <c r="M27" s="32"/>
      <c r="N27" s="45">
        <f>I!J24</f>
        <v>0</v>
      </c>
      <c r="O27" s="26">
        <f>I!K24</f>
        <v>1</v>
      </c>
      <c r="P27" s="32"/>
      <c r="Q27" s="45">
        <f>I!L24</f>
        <v>0</v>
      </c>
      <c r="R27" s="26">
        <f>I!M24</f>
        <v>3</v>
      </c>
      <c r="S27" s="32"/>
      <c r="T27" s="45">
        <f>I!N24</f>
        <v>0</v>
      </c>
      <c r="U27" s="26">
        <f>I!O24</f>
        <v>22</v>
      </c>
      <c r="V27" s="32"/>
      <c r="W27" s="45">
        <f>I!P24</f>
        <v>0</v>
      </c>
      <c r="X27" s="26">
        <f>I!Q24</f>
        <v>1</v>
      </c>
      <c r="Y27" s="32"/>
      <c r="Z27" s="46">
        <f>I!R24</f>
        <v>0</v>
      </c>
      <c r="AA27" s="26">
        <f>I!S24</f>
        <v>1</v>
      </c>
      <c r="AB27" s="68"/>
      <c r="AC27" s="46">
        <f>I!T24</f>
        <v>0</v>
      </c>
      <c r="AD27" s="26">
        <f>I!U24</f>
        <v>1</v>
      </c>
      <c r="AE27" s="68"/>
    </row>
    <row r="28" spans="1:31" s="28" customFormat="1" x14ac:dyDescent="0.25">
      <c r="A28" s="24">
        <v>7</v>
      </c>
      <c r="B28" s="45" t="str">
        <f>I!B25</f>
        <v>FREULER</v>
      </c>
      <c r="C28" s="26">
        <f>I!C25</f>
        <v>6</v>
      </c>
      <c r="D28" s="32"/>
      <c r="E28" s="45" t="str">
        <f>I!D25</f>
        <v>LULIC</v>
      </c>
      <c r="F28" s="26">
        <f>I!E25</f>
        <v>1</v>
      </c>
      <c r="G28" s="32"/>
      <c r="H28" s="45" t="str">
        <f>I!F25</f>
        <v>DZEMAILI</v>
      </c>
      <c r="I28" s="26">
        <f>I!G25</f>
        <v>3</v>
      </c>
      <c r="J28" s="32"/>
      <c r="K28" s="45">
        <f>I!H25</f>
        <v>0</v>
      </c>
      <c r="L28" s="26">
        <f>I!I25</f>
        <v>3</v>
      </c>
      <c r="M28" s="32"/>
      <c r="N28" s="45">
        <f>I!J25</f>
        <v>0</v>
      </c>
      <c r="O28" s="26">
        <f>I!K25</f>
        <v>1</v>
      </c>
      <c r="P28" s="32"/>
      <c r="Q28" s="45">
        <f>I!L25</f>
        <v>0</v>
      </c>
      <c r="R28" s="26">
        <f>I!M25</f>
        <v>4</v>
      </c>
      <c r="S28" s="32"/>
      <c r="T28" s="106">
        <f>I!N25</f>
        <v>0</v>
      </c>
      <c r="U28" s="26">
        <f>I!O25</f>
        <v>1</v>
      </c>
      <c r="V28" s="32">
        <v>7</v>
      </c>
      <c r="W28" s="45">
        <f>I!P25</f>
        <v>0</v>
      </c>
      <c r="X28" s="26">
        <f>I!Q25</f>
        <v>1</v>
      </c>
      <c r="Y28" s="32"/>
      <c r="Z28" s="46">
        <f>I!R25</f>
        <v>0</v>
      </c>
      <c r="AA28" s="26">
        <f>I!S25</f>
        <v>2</v>
      </c>
      <c r="AB28" s="68"/>
      <c r="AC28" s="46">
        <f>I!T25</f>
        <v>0</v>
      </c>
      <c r="AD28" s="26">
        <f>I!U25</f>
        <v>1</v>
      </c>
      <c r="AE28" s="68"/>
    </row>
    <row r="29" spans="1:31" s="28" customFormat="1" x14ac:dyDescent="0.25">
      <c r="A29" s="24">
        <v>8</v>
      </c>
      <c r="B29" s="45" t="str">
        <f>I!B26</f>
        <v>GRASSI</v>
      </c>
      <c r="C29" s="26">
        <f>I!C26</f>
        <v>2</v>
      </c>
      <c r="D29" s="32"/>
      <c r="E29" s="45" t="str">
        <f>I!D26</f>
        <v>GERSON</v>
      </c>
      <c r="F29" s="26">
        <f>I!E26</f>
        <v>1</v>
      </c>
      <c r="G29" s="32"/>
      <c r="H29" s="104" t="str">
        <f>I!F26</f>
        <v>PEROTTI</v>
      </c>
      <c r="I29" s="26">
        <f>I!G26</f>
        <v>7</v>
      </c>
      <c r="J29" s="32"/>
      <c r="K29" s="45">
        <f>I!H26</f>
        <v>0</v>
      </c>
      <c r="L29" s="26">
        <f>I!I26</f>
        <v>1</v>
      </c>
      <c r="M29" s="32"/>
      <c r="N29" s="45">
        <f>I!J26</f>
        <v>0</v>
      </c>
      <c r="O29" s="26">
        <f>I!K26</f>
        <v>2</v>
      </c>
      <c r="P29" s="32"/>
      <c r="Q29" s="45">
        <f>I!L26</f>
        <v>0</v>
      </c>
      <c r="R29" s="26">
        <f>I!M26</f>
        <v>1</v>
      </c>
      <c r="S29" s="32"/>
      <c r="T29" s="45">
        <f>I!N26</f>
        <v>0</v>
      </c>
      <c r="U29" s="26">
        <f>I!O26</f>
        <v>1</v>
      </c>
      <c r="V29" s="32"/>
      <c r="W29" s="45">
        <f>I!P26</f>
        <v>0</v>
      </c>
      <c r="X29" s="26">
        <f>I!Q26</f>
        <v>1</v>
      </c>
      <c r="Y29" s="32"/>
      <c r="Z29" s="46">
        <f>I!R26</f>
        <v>0</v>
      </c>
      <c r="AA29" s="26">
        <f>I!S26</f>
        <v>1</v>
      </c>
      <c r="AB29" s="68"/>
      <c r="AC29" s="46">
        <f>I!T26</f>
        <v>0</v>
      </c>
      <c r="AD29" s="26">
        <f>I!U26</f>
        <v>1</v>
      </c>
      <c r="AE29" s="68"/>
    </row>
    <row r="30" spans="1:31" s="28" customFormat="1" x14ac:dyDescent="0.25">
      <c r="A30" s="24" t="s">
        <v>19</v>
      </c>
      <c r="B30" s="87"/>
      <c r="C30" s="82"/>
      <c r="D30" s="83"/>
      <c r="E30" s="87"/>
      <c r="F30" s="82"/>
      <c r="G30" s="83"/>
      <c r="H30" s="45"/>
      <c r="I30" s="82"/>
      <c r="J30" s="83"/>
      <c r="K30" s="87"/>
      <c r="L30" s="82"/>
      <c r="M30" s="83"/>
      <c r="N30" s="87"/>
      <c r="O30" s="82"/>
      <c r="P30" s="83"/>
      <c r="Q30" s="87"/>
      <c r="R30" s="82"/>
      <c r="S30" s="83"/>
      <c r="T30" s="87" t="s">
        <v>327</v>
      </c>
      <c r="U30" s="82"/>
      <c r="V30" s="83">
        <v>1</v>
      </c>
      <c r="W30" s="87"/>
      <c r="X30" s="82"/>
      <c r="Y30" s="90"/>
      <c r="Z30" s="95"/>
      <c r="AA30" s="82"/>
      <c r="AB30" s="93"/>
      <c r="AC30" s="95"/>
      <c r="AD30" s="82"/>
      <c r="AE30" s="93"/>
    </row>
    <row r="31" spans="1:31" s="28" customFormat="1" x14ac:dyDescent="0.25">
      <c r="A31" s="24" t="s">
        <v>20</v>
      </c>
      <c r="B31" s="45"/>
      <c r="C31" s="26"/>
      <c r="D31" s="41"/>
      <c r="E31" s="45"/>
      <c r="F31" s="26"/>
      <c r="G31" s="41"/>
      <c r="H31" s="45"/>
      <c r="I31" s="26"/>
      <c r="J31" s="41"/>
      <c r="K31" s="45"/>
      <c r="L31" s="26"/>
      <c r="M31" s="41"/>
      <c r="N31" s="45"/>
      <c r="O31" s="26"/>
      <c r="P31" s="41"/>
      <c r="Q31" s="45"/>
      <c r="R31" s="26"/>
      <c r="S31" s="41"/>
      <c r="T31" s="45"/>
      <c r="U31" s="26"/>
      <c r="V31" s="41"/>
      <c r="W31" s="45"/>
      <c r="X31" s="26"/>
      <c r="Y31" s="41"/>
      <c r="Z31" s="46"/>
      <c r="AA31" s="26"/>
      <c r="AB31" s="66"/>
      <c r="AC31" s="46"/>
      <c r="AD31" s="26"/>
      <c r="AE31" s="66"/>
    </row>
    <row r="32" spans="1:31" s="2" customFormat="1" x14ac:dyDescent="0.25">
      <c r="A32" s="30" t="s">
        <v>16</v>
      </c>
      <c r="B32" s="5"/>
      <c r="C32" s="12"/>
      <c r="D32" s="15">
        <f>SUM(D22:D29)-SUM(D30:D31)-SUM(C30:C31)</f>
        <v>0</v>
      </c>
      <c r="E32" s="5"/>
      <c r="F32" s="12"/>
      <c r="G32" s="15">
        <f>SUM(G22:G29)-SUM(G30:G31)-SUM(F30:F31)</f>
        <v>0</v>
      </c>
      <c r="H32" s="5"/>
      <c r="I32" s="12"/>
      <c r="J32" s="15">
        <f>SUM(J22:J29)-SUM(J30:J31)-SUM(I30:I31)</f>
        <v>0</v>
      </c>
      <c r="K32" s="5"/>
      <c r="L32" s="12"/>
      <c r="M32" s="15">
        <f>SUM(M22:M29)-SUM(M30:M31)-SUM(L30:L31)</f>
        <v>0</v>
      </c>
      <c r="N32" s="5"/>
      <c r="O32" s="12"/>
      <c r="P32" s="15">
        <f>SUM(P22:P29)-SUM(P30:P31)-SUM(O30:O31)</f>
        <v>0</v>
      </c>
      <c r="Q32" s="5"/>
      <c r="R32" s="12"/>
      <c r="S32" s="15">
        <f>SUM(S22:S29)-SUM(S30:S31)-SUM(R30:R31)</f>
        <v>0</v>
      </c>
      <c r="T32" s="5"/>
      <c r="U32" s="12"/>
      <c r="V32" s="15">
        <f>SUM(V22:V29)-SUM(V30:V31)-SUM(U30:U31)</f>
        <v>6</v>
      </c>
      <c r="W32" s="5"/>
      <c r="X32" s="12"/>
      <c r="Y32" s="15">
        <f>SUM(Y22:Y29)-SUM(Y30:Y31)-SUM(X30:X31)</f>
        <v>0</v>
      </c>
      <c r="Z32" s="21"/>
      <c r="AA32" s="12"/>
      <c r="AB32" s="67">
        <f>SUM(AB22:AB29)-SUM(AB30:AB31)-SUM(AA30:AA31)</f>
        <v>0</v>
      </c>
      <c r="AC32" s="21"/>
      <c r="AD32" s="12"/>
      <c r="AE32" s="67">
        <f>SUM(AE22:AE29)-SUM(AE30:AE31)-SUM(AD30:AD31)</f>
        <v>0</v>
      </c>
    </row>
    <row r="33" spans="1:31" s="2" customFormat="1" ht="20.399999999999999" thickBot="1" x14ac:dyDescent="0.45">
      <c r="A33" s="30"/>
      <c r="B33" s="4" t="s">
        <v>11</v>
      </c>
      <c r="C33" s="52"/>
      <c r="D33" s="38" t="s">
        <v>27</v>
      </c>
      <c r="E33" s="4" t="s">
        <v>11</v>
      </c>
      <c r="F33" s="52"/>
      <c r="G33" s="38" t="s">
        <v>27</v>
      </c>
      <c r="H33" s="4" t="s">
        <v>11</v>
      </c>
      <c r="I33" s="52"/>
      <c r="J33" s="38" t="s">
        <v>27</v>
      </c>
      <c r="K33" s="4" t="s">
        <v>11</v>
      </c>
      <c r="L33" s="52"/>
      <c r="M33" s="38" t="s">
        <v>27</v>
      </c>
      <c r="N33" s="4" t="s">
        <v>11</v>
      </c>
      <c r="O33" s="52"/>
      <c r="P33" s="38" t="s">
        <v>27</v>
      </c>
      <c r="Q33" s="4" t="s">
        <v>11</v>
      </c>
      <c r="R33" s="52"/>
      <c r="S33" s="38" t="s">
        <v>27</v>
      </c>
      <c r="T33" s="4" t="s">
        <v>11</v>
      </c>
      <c r="U33" s="52"/>
      <c r="V33" s="38" t="s">
        <v>27</v>
      </c>
      <c r="W33" s="4" t="s">
        <v>11</v>
      </c>
      <c r="X33" s="52"/>
      <c r="Y33" s="38" t="s">
        <v>27</v>
      </c>
      <c r="Z33" s="20" t="s">
        <v>11</v>
      </c>
      <c r="AA33" s="52"/>
      <c r="AB33" s="65" t="s">
        <v>27</v>
      </c>
      <c r="AC33" s="20" t="s">
        <v>11</v>
      </c>
      <c r="AD33" s="52"/>
      <c r="AE33" s="65" t="s">
        <v>27</v>
      </c>
    </row>
    <row r="34" spans="1:31" s="28" customFormat="1" ht="14.4" thickTop="1" x14ac:dyDescent="0.25">
      <c r="A34" s="24">
        <v>1</v>
      </c>
      <c r="B34" s="47" t="str">
        <f>I!B29</f>
        <v>ICARDI</v>
      </c>
      <c r="C34" s="26">
        <f>I!C29</f>
        <v>140</v>
      </c>
      <c r="D34" s="41"/>
      <c r="E34" s="47" t="str">
        <f>I!D29</f>
        <v>INGLESE</v>
      </c>
      <c r="F34" s="26">
        <f>I!E29</f>
        <v>20</v>
      </c>
      <c r="G34" s="41"/>
      <c r="H34" s="47" t="str">
        <f>I!F29</f>
        <v>BERARDI</v>
      </c>
      <c r="I34" s="26">
        <f>I!G29</f>
        <v>15</v>
      </c>
      <c r="J34" s="41"/>
      <c r="K34" s="47">
        <f>I!H29</f>
        <v>0</v>
      </c>
      <c r="L34" s="26">
        <f>I!I29</f>
        <v>146</v>
      </c>
      <c r="M34" s="41"/>
      <c r="N34" s="47">
        <f>I!J29</f>
        <v>0</v>
      </c>
      <c r="O34" s="26">
        <f>I!K29</f>
        <v>126</v>
      </c>
      <c r="P34" s="41"/>
      <c r="Q34" s="47">
        <f>I!L29</f>
        <v>0</v>
      </c>
      <c r="R34" s="26">
        <f>I!M29</f>
        <v>125</v>
      </c>
      <c r="S34" s="41"/>
      <c r="T34" s="47">
        <f>I!N29</f>
        <v>0</v>
      </c>
      <c r="U34" s="26">
        <f>I!O29</f>
        <v>40</v>
      </c>
      <c r="V34" s="41"/>
      <c r="W34" s="47">
        <f>I!P29</f>
        <v>0</v>
      </c>
      <c r="X34" s="26">
        <f>I!Q29</f>
        <v>131</v>
      </c>
      <c r="Y34" s="41"/>
      <c r="Z34" s="48">
        <f>I!R29</f>
        <v>0</v>
      </c>
      <c r="AA34" s="26">
        <f>I!S29</f>
        <v>130</v>
      </c>
      <c r="AB34" s="66"/>
      <c r="AC34" s="48">
        <f>I!T29</f>
        <v>0</v>
      </c>
      <c r="AD34" s="26">
        <f>I!U29</f>
        <v>59</v>
      </c>
      <c r="AE34" s="66"/>
    </row>
    <row r="35" spans="1:31" s="28" customFormat="1" x14ac:dyDescent="0.25">
      <c r="A35" s="24">
        <v>2</v>
      </c>
      <c r="B35" s="102" t="str">
        <f>I!B30</f>
        <v>KARAMOH</v>
      </c>
      <c r="C35" s="26">
        <f>I!C30</f>
        <v>1</v>
      </c>
      <c r="D35" s="41">
        <v>1</v>
      </c>
      <c r="E35" s="47" t="str">
        <f>I!D30</f>
        <v>BELOTTI</v>
      </c>
      <c r="F35" s="26">
        <f>I!E30</f>
        <v>90</v>
      </c>
      <c r="G35" s="41"/>
      <c r="H35" s="47" t="str">
        <f>I!F30</f>
        <v>CIANO</v>
      </c>
      <c r="I35" s="26">
        <f>I!G30</f>
        <v>3</v>
      </c>
      <c r="J35" s="41"/>
      <c r="K35" s="47">
        <f>I!H30</f>
        <v>0</v>
      </c>
      <c r="L35" s="26">
        <f>I!I30</f>
        <v>2</v>
      </c>
      <c r="M35" s="41"/>
      <c r="N35" s="47">
        <f>I!J30</f>
        <v>0</v>
      </c>
      <c r="O35" s="26">
        <f>I!K30</f>
        <v>11</v>
      </c>
      <c r="P35" s="41"/>
      <c r="Q35" s="47">
        <f>I!L30</f>
        <v>0</v>
      </c>
      <c r="R35" s="26">
        <f>I!M30</f>
        <v>4</v>
      </c>
      <c r="S35" s="41"/>
      <c r="T35" s="47">
        <f>I!N30</f>
        <v>0</v>
      </c>
      <c r="U35" s="26">
        <f>I!O30</f>
        <v>60</v>
      </c>
      <c r="V35" s="41"/>
      <c r="W35" s="47">
        <f>I!P30</f>
        <v>0</v>
      </c>
      <c r="X35" s="26">
        <f>I!Q30</f>
        <v>34</v>
      </c>
      <c r="Y35" s="41"/>
      <c r="Z35" s="48">
        <f>I!R30</f>
        <v>0</v>
      </c>
      <c r="AA35" s="26">
        <f>I!S30</f>
        <v>34</v>
      </c>
      <c r="AB35" s="66"/>
      <c r="AC35" s="48">
        <f>I!T30</f>
        <v>0</v>
      </c>
      <c r="AD35" s="26">
        <f>I!U30</f>
        <v>91</v>
      </c>
      <c r="AE35" s="66"/>
    </row>
    <row r="36" spans="1:31" s="28" customFormat="1" x14ac:dyDescent="0.25">
      <c r="A36" s="24">
        <v>3</v>
      </c>
      <c r="B36" s="47" t="str">
        <f>I!B31</f>
        <v>PIATEK</v>
      </c>
      <c r="C36" s="26">
        <f>I!C31</f>
        <v>15</v>
      </c>
      <c r="D36" s="41"/>
      <c r="E36" s="47" t="str">
        <f>I!D31</f>
        <v>PALOSCHI</v>
      </c>
      <c r="F36" s="26">
        <f>I!E31</f>
        <v>1</v>
      </c>
      <c r="G36" s="41"/>
      <c r="H36" s="47" t="str">
        <f>I!F31</f>
        <v>INSIGNE</v>
      </c>
      <c r="I36" s="26">
        <f>I!G31</f>
        <v>32</v>
      </c>
      <c r="J36" s="41"/>
      <c r="K36" s="47">
        <f>I!H31</f>
        <v>0</v>
      </c>
      <c r="L36" s="26">
        <f>I!I31</f>
        <v>14</v>
      </c>
      <c r="M36" s="41"/>
      <c r="N36" s="47">
        <f>I!J31</f>
        <v>0</v>
      </c>
      <c r="O36" s="26">
        <f>I!K31</f>
        <v>22</v>
      </c>
      <c r="P36" s="41"/>
      <c r="Q36" s="47">
        <f>I!L31</f>
        <v>0</v>
      </c>
      <c r="R36" s="26">
        <f>I!M31</f>
        <v>21</v>
      </c>
      <c r="S36" s="41"/>
      <c r="T36" s="47">
        <f>I!N31</f>
        <v>0</v>
      </c>
      <c r="U36" s="26">
        <f>I!O31</f>
        <v>4</v>
      </c>
      <c r="V36" s="41"/>
      <c r="W36" s="47">
        <f>I!P31</f>
        <v>0</v>
      </c>
      <c r="X36" s="26">
        <f>I!Q31</f>
        <v>7</v>
      </c>
      <c r="Y36" s="41"/>
      <c r="Z36" s="48">
        <f>I!R31</f>
        <v>0</v>
      </c>
      <c r="AA36" s="26">
        <f>I!S31</f>
        <v>1</v>
      </c>
      <c r="AB36" s="66"/>
      <c r="AC36" s="48">
        <f>I!T31</f>
        <v>0</v>
      </c>
      <c r="AD36" s="26">
        <f>I!U31</f>
        <v>27</v>
      </c>
      <c r="AE36" s="66"/>
    </row>
    <row r="37" spans="1:31" s="28" customFormat="1" x14ac:dyDescent="0.25">
      <c r="A37" s="24">
        <v>4</v>
      </c>
      <c r="B37" s="47" t="str">
        <f>I!B32</f>
        <v>KEITA B</v>
      </c>
      <c r="C37" s="26">
        <f>I!C32</f>
        <v>2</v>
      </c>
      <c r="D37" s="41"/>
      <c r="E37" s="47" t="str">
        <f>I!D32</f>
        <v>LA GUMINA</v>
      </c>
      <c r="F37" s="26">
        <f>I!E32</f>
        <v>1</v>
      </c>
      <c r="G37" s="41"/>
      <c r="H37" s="47" t="str">
        <f>I!F32</f>
        <v>SIMEONE</v>
      </c>
      <c r="I37" s="26">
        <f>I!G32</f>
        <v>31</v>
      </c>
      <c r="J37" s="41"/>
      <c r="K37" s="47">
        <f>I!H32</f>
        <v>0</v>
      </c>
      <c r="L37" s="26">
        <f>I!I32</f>
        <v>2</v>
      </c>
      <c r="M37" s="41"/>
      <c r="N37" s="47">
        <f>I!J32</f>
        <v>0</v>
      </c>
      <c r="O37" s="26">
        <f>I!K32</f>
        <v>5</v>
      </c>
      <c r="P37" s="41"/>
      <c r="Q37" s="47">
        <f>I!L32</f>
        <v>0</v>
      </c>
      <c r="R37" s="26">
        <f>I!M32</f>
        <v>22</v>
      </c>
      <c r="S37" s="41"/>
      <c r="T37" s="47">
        <f>I!N32</f>
        <v>0</v>
      </c>
      <c r="U37" s="26">
        <f>I!O32</f>
        <v>17</v>
      </c>
      <c r="V37" s="41"/>
      <c r="W37" s="47">
        <f>I!P32</f>
        <v>0</v>
      </c>
      <c r="X37" s="26">
        <f>I!Q32</f>
        <v>18</v>
      </c>
      <c r="Y37" s="41"/>
      <c r="Z37" s="48">
        <f>I!R32</f>
        <v>0</v>
      </c>
      <c r="AA37" s="26">
        <f>I!S32</f>
        <v>20</v>
      </c>
      <c r="AB37" s="66"/>
      <c r="AC37" s="48">
        <f>I!T32</f>
        <v>0</v>
      </c>
      <c r="AD37" s="26">
        <f>I!U32</f>
        <v>19</v>
      </c>
      <c r="AE37" s="66"/>
    </row>
    <row r="38" spans="1:31" s="28" customFormat="1" x14ac:dyDescent="0.25">
      <c r="A38" s="24">
        <v>5</v>
      </c>
      <c r="B38" s="47" t="str">
        <f>I!B33</f>
        <v>MACHIS</v>
      </c>
      <c r="C38" s="26">
        <f>I!C33</f>
        <v>1</v>
      </c>
      <c r="D38" s="41"/>
      <c r="E38" s="47" t="str">
        <f>I!D33</f>
        <v>THEREAU</v>
      </c>
      <c r="F38" s="26">
        <f>I!E33</f>
        <v>1</v>
      </c>
      <c r="G38" s="41"/>
      <c r="H38" s="47" t="str">
        <f>I!F33</f>
        <v>GOMEZ A</v>
      </c>
      <c r="I38" s="26">
        <f>I!G33</f>
        <v>31</v>
      </c>
      <c r="J38" s="41"/>
      <c r="K38" s="47">
        <f>I!H33</f>
        <v>0</v>
      </c>
      <c r="L38" s="26">
        <f>I!I33</f>
        <v>16</v>
      </c>
      <c r="M38" s="41"/>
      <c r="N38" s="47">
        <f>I!J33</f>
        <v>0</v>
      </c>
      <c r="O38" s="26">
        <f>I!K33</f>
        <v>1</v>
      </c>
      <c r="P38" s="41"/>
      <c r="Q38" s="47">
        <f>I!L33</f>
        <v>0</v>
      </c>
      <c r="R38" s="26">
        <f>I!M33</f>
        <v>8</v>
      </c>
      <c r="S38" s="41"/>
      <c r="T38" s="47">
        <f>I!N33</f>
        <v>0</v>
      </c>
      <c r="U38" s="26">
        <f>I!O33</f>
        <v>4</v>
      </c>
      <c r="V38" s="41"/>
      <c r="W38" s="47">
        <f>I!P33</f>
        <v>0</v>
      </c>
      <c r="X38" s="26">
        <f>I!Q33</f>
        <v>14</v>
      </c>
      <c r="Y38" s="41"/>
      <c r="Z38" s="48">
        <f>I!R33</f>
        <v>0</v>
      </c>
      <c r="AA38" s="26">
        <f>I!S33</f>
        <v>2</v>
      </c>
      <c r="AB38" s="66"/>
      <c r="AC38" s="48">
        <f>I!T33</f>
        <v>0</v>
      </c>
      <c r="AD38" s="26">
        <f>I!U33</f>
        <v>1</v>
      </c>
      <c r="AE38" s="66"/>
    </row>
    <row r="39" spans="1:31" s="28" customFormat="1" x14ac:dyDescent="0.25">
      <c r="A39" s="24">
        <v>6</v>
      </c>
      <c r="B39" s="47" t="str">
        <f>I!B34</f>
        <v>CAPUTO</v>
      </c>
      <c r="C39" s="26">
        <f>I!C34</f>
        <v>3</v>
      </c>
      <c r="D39" s="41"/>
      <c r="E39" s="47" t="str">
        <f>I!D34</f>
        <v>DIONISI</v>
      </c>
      <c r="F39" s="26">
        <f>I!E34</f>
        <v>1</v>
      </c>
      <c r="G39" s="41"/>
      <c r="H39" s="47" t="str">
        <f>I!F34</f>
        <v>ZAZA</v>
      </c>
      <c r="I39" s="26">
        <f>I!G34</f>
        <v>33</v>
      </c>
      <c r="J39" s="41"/>
      <c r="K39" s="102">
        <f>I!H34</f>
        <v>0</v>
      </c>
      <c r="L39" s="26">
        <f>I!I34</f>
        <v>2</v>
      </c>
      <c r="M39" s="41">
        <v>11</v>
      </c>
      <c r="N39" s="47">
        <f>I!J34</f>
        <v>0</v>
      </c>
      <c r="O39" s="26">
        <f>I!K34</f>
        <v>4</v>
      </c>
      <c r="P39" s="41"/>
      <c r="Q39" s="47">
        <f>I!L34</f>
        <v>0</v>
      </c>
      <c r="R39" s="26">
        <f>I!M34</f>
        <v>24</v>
      </c>
      <c r="S39" s="41"/>
      <c r="T39" s="47">
        <f>I!N34</f>
        <v>0</v>
      </c>
      <c r="U39" s="26">
        <f>I!O34</f>
        <v>1</v>
      </c>
      <c r="V39" s="41"/>
      <c r="W39" s="102">
        <f>I!P34</f>
        <v>0</v>
      </c>
      <c r="X39" s="26">
        <f>I!Q34</f>
        <v>1</v>
      </c>
      <c r="Y39" s="41">
        <v>1</v>
      </c>
      <c r="Z39" s="107">
        <f>I!R34</f>
        <v>0</v>
      </c>
      <c r="AA39" s="26">
        <f>I!S34</f>
        <v>1</v>
      </c>
      <c r="AB39" s="66">
        <v>1</v>
      </c>
      <c r="AC39" s="48">
        <f>I!T34</f>
        <v>0</v>
      </c>
      <c r="AD39" s="26">
        <f>I!U34</f>
        <v>4</v>
      </c>
      <c r="AE39" s="66"/>
    </row>
    <row r="40" spans="1:31" s="28" customFormat="1" x14ac:dyDescent="0.25">
      <c r="A40" s="24" t="s">
        <v>19</v>
      </c>
      <c r="B40" s="88" t="s">
        <v>498</v>
      </c>
      <c r="C40" s="82"/>
      <c r="D40" s="89">
        <v>8</v>
      </c>
      <c r="E40" s="88"/>
      <c r="F40" s="82"/>
      <c r="G40" s="89"/>
      <c r="H40" s="88"/>
      <c r="I40" s="82"/>
      <c r="J40" s="89"/>
      <c r="K40" s="88" t="s">
        <v>502</v>
      </c>
      <c r="L40" s="82"/>
      <c r="M40" s="89">
        <v>4</v>
      </c>
      <c r="N40" s="88"/>
      <c r="O40" s="82"/>
      <c r="P40" s="89"/>
      <c r="Q40" s="88"/>
      <c r="R40" s="82"/>
      <c r="S40" s="89"/>
      <c r="T40" s="88"/>
      <c r="U40" s="82"/>
      <c r="V40" s="89"/>
      <c r="W40" s="88" t="s">
        <v>481</v>
      </c>
      <c r="X40" s="82"/>
      <c r="Y40" s="91">
        <v>1</v>
      </c>
      <c r="Z40" s="96" t="s">
        <v>475</v>
      </c>
      <c r="AA40" s="82"/>
      <c r="AB40" s="97">
        <v>1</v>
      </c>
      <c r="AC40" s="96"/>
      <c r="AD40" s="82"/>
      <c r="AE40" s="97"/>
    </row>
    <row r="41" spans="1:31" s="28" customFormat="1" x14ac:dyDescent="0.25">
      <c r="A41" s="24" t="s">
        <v>20</v>
      </c>
      <c r="B41" s="47"/>
      <c r="C41" s="26"/>
      <c r="D41" s="32"/>
      <c r="E41" s="47"/>
      <c r="F41" s="26"/>
      <c r="G41" s="32"/>
      <c r="H41" s="47"/>
      <c r="I41" s="26"/>
      <c r="J41" s="32"/>
      <c r="K41" s="47"/>
      <c r="L41" s="26"/>
      <c r="M41" s="32"/>
      <c r="N41" s="47"/>
      <c r="O41" s="26"/>
      <c r="P41" s="32"/>
      <c r="Q41" s="47"/>
      <c r="R41" s="26"/>
      <c r="S41" s="32"/>
      <c r="T41" s="47"/>
      <c r="U41" s="26"/>
      <c r="V41" s="32"/>
      <c r="W41" s="47"/>
      <c r="X41" s="26"/>
      <c r="Y41" s="32"/>
      <c r="Z41" s="48"/>
      <c r="AA41" s="26"/>
      <c r="AB41" s="68"/>
      <c r="AC41" s="48"/>
      <c r="AD41" s="26"/>
      <c r="AE41" s="68"/>
    </row>
    <row r="42" spans="1:31" s="2" customFormat="1" x14ac:dyDescent="0.25">
      <c r="A42" s="30" t="s">
        <v>17</v>
      </c>
      <c r="B42" s="5"/>
      <c r="C42" s="12"/>
      <c r="D42" s="15">
        <f>SUM(D34:D39)-SUM(D40:D41)-SUM(C40:C41)</f>
        <v>-7</v>
      </c>
      <c r="E42" s="5"/>
      <c r="F42" s="12"/>
      <c r="G42" s="15">
        <f>SUM(G34:G39)-SUM(G40:G41)-SUM(F40:F41)</f>
        <v>0</v>
      </c>
      <c r="H42" s="5"/>
      <c r="I42" s="12"/>
      <c r="J42" s="15">
        <f>SUM(J34:J39)-SUM(J40:J41)-SUM(I40:I41)</f>
        <v>0</v>
      </c>
      <c r="K42" s="5"/>
      <c r="L42" s="12"/>
      <c r="M42" s="15">
        <f>SUM(M34:M39)-SUM(M40:M41)-SUM(L40:L41)</f>
        <v>7</v>
      </c>
      <c r="N42" s="5"/>
      <c r="O42" s="12"/>
      <c r="P42" s="15">
        <f>SUM(P34:P39)-SUM(P40:P41)-SUM(O40:O41)</f>
        <v>0</v>
      </c>
      <c r="Q42" s="5"/>
      <c r="R42" s="12"/>
      <c r="S42" s="15">
        <f>SUM(S34:S39)-SUM(S40:S41)-SUM(R40:R41)</f>
        <v>0</v>
      </c>
      <c r="T42" s="5"/>
      <c r="U42" s="12"/>
      <c r="V42" s="15">
        <f>SUM(V34:V39)-SUM(V40:V41)-SUM(U40:U41)</f>
        <v>0</v>
      </c>
      <c r="W42" s="5"/>
      <c r="X42" s="12"/>
      <c r="Y42" s="15">
        <f>SUM(Y34:Y39)-SUM(Y40:Y41)-SUM(X40:X41)</f>
        <v>0</v>
      </c>
      <c r="Z42" s="21"/>
      <c r="AA42" s="12"/>
      <c r="AB42" s="67">
        <f>SUM(AB34:AB39)-SUM(AB40:AB41)-SUM(AA40:AA41)</f>
        <v>0</v>
      </c>
      <c r="AC42" s="21"/>
      <c r="AD42" s="12"/>
      <c r="AE42" s="67">
        <f>SUM(AE34:AE39)-SUM(AE40:AE41)-SUM(AD40:AD41)</f>
        <v>0</v>
      </c>
    </row>
    <row r="43" spans="1:31" s="2" customFormat="1" ht="14.4" thickBot="1" x14ac:dyDescent="0.3">
      <c r="A43" s="17"/>
      <c r="B43" s="5"/>
      <c r="C43" s="12"/>
      <c r="D43" s="15"/>
      <c r="E43" s="5"/>
      <c r="F43" s="12"/>
      <c r="G43" s="15"/>
      <c r="H43" s="5"/>
      <c r="I43" s="12"/>
      <c r="J43" s="15"/>
      <c r="K43" s="5"/>
      <c r="L43" s="12"/>
      <c r="M43" s="15"/>
      <c r="N43" s="5"/>
      <c r="O43" s="12"/>
      <c r="P43" s="15"/>
      <c r="Q43" s="5"/>
      <c r="R43" s="12"/>
      <c r="S43" s="15"/>
      <c r="T43" s="5"/>
      <c r="U43" s="12"/>
      <c r="V43" s="15"/>
      <c r="W43" s="5"/>
      <c r="X43" s="12"/>
      <c r="Y43" s="15"/>
      <c r="Z43" s="39"/>
      <c r="AA43" s="40"/>
      <c r="AB43" s="69"/>
      <c r="AC43" s="21"/>
      <c r="AD43" s="12"/>
      <c r="AE43" s="67"/>
    </row>
    <row r="44" spans="1:31" s="7" customFormat="1" ht="15.6" x14ac:dyDescent="0.3">
      <c r="A44" s="30" t="s">
        <v>12</v>
      </c>
      <c r="B44" s="8"/>
      <c r="C44" s="13"/>
      <c r="D44" s="16">
        <f>SUM(D7:D7)+SUM(D40:D41)+SUM(D30:D31)+SUM(D18:D19)</f>
        <v>9</v>
      </c>
      <c r="E44" s="8"/>
      <c r="F44" s="13"/>
      <c r="G44" s="16">
        <f>SUM(G7:G7)+SUM(G40:G41)+SUM(G30:G31)+SUM(G18:G19)</f>
        <v>2</v>
      </c>
      <c r="H44" s="8"/>
      <c r="I44" s="13"/>
      <c r="J44" s="16">
        <f>SUM(J7:J7)+SUM(J40:J41)+SUM(J30:J31)+SUM(J18:J19)</f>
        <v>1</v>
      </c>
      <c r="K44" s="8"/>
      <c r="L44" s="13"/>
      <c r="M44" s="16">
        <f>SUM(M7:M7)+SUM(M40:M41)+SUM(M30:M31)+SUM(M18:M19)</f>
        <v>4</v>
      </c>
      <c r="N44" s="8"/>
      <c r="O44" s="13"/>
      <c r="P44" s="16">
        <f>SUM(P7:P7)+SUM(P40:P41)+SUM(P30:P31)+SUM(P18:P19)</f>
        <v>1</v>
      </c>
      <c r="Q44" s="8"/>
      <c r="R44" s="13"/>
      <c r="S44" s="16">
        <f>SUM(S7:S7)+SUM(S40:S41)+SUM(S30:S31)+SUM(S18:S19)</f>
        <v>0</v>
      </c>
      <c r="T44" s="8"/>
      <c r="U44" s="13"/>
      <c r="V44" s="16">
        <f>SUM(V7:V7)+SUM(V40:V41)+SUM(V30:V31)+SUM(V18:V19)</f>
        <v>1</v>
      </c>
      <c r="W44" s="8"/>
      <c r="X44" s="13"/>
      <c r="Y44" s="16">
        <f>SUM(Y7:Y7)+SUM(Y40:Y41)+SUM(Y30:Y31)+SUM(Y18:Y19)</f>
        <v>1</v>
      </c>
      <c r="Z44" s="58"/>
      <c r="AA44" s="70"/>
      <c r="AB44" s="71">
        <f>SUM(AB7:AB7)+SUM(AB40:AB41)+SUM(AB30:AB31)+SUM(AB18:AB19)</f>
        <v>2</v>
      </c>
      <c r="AC44" s="99"/>
      <c r="AD44" s="13"/>
      <c r="AE44" s="100">
        <f>SUM(AE7:AE7)+SUM(AE40:AE41)+SUM(AE30:AE31)+SUM(AE18:AE19)</f>
        <v>0</v>
      </c>
    </row>
    <row r="45" spans="1:31" s="37" customFormat="1" ht="15.6" thickBot="1" x14ac:dyDescent="0.3">
      <c r="A45" s="33" t="s">
        <v>18</v>
      </c>
      <c r="B45" s="34"/>
      <c r="C45" s="35"/>
      <c r="D45" s="36">
        <f>D2+SUM(D34:D39)+SUM(D22:D29)+SUM(D10:D17)+SUM(D4:D6)-D44</f>
        <v>-5</v>
      </c>
      <c r="E45" s="34"/>
      <c r="F45" s="35"/>
      <c r="G45" s="36">
        <f>G2+SUM(G34:G39)+SUM(G22:G29)+SUM(G10:G17)+SUM(G4:G6)-G44</f>
        <v>5</v>
      </c>
      <c r="H45" s="34"/>
      <c r="I45" s="35"/>
      <c r="J45" s="36">
        <f>J2+SUM(J34:J39)+SUM(J22:J29)+SUM(J10:J17)+SUM(J4:J6)-J44</f>
        <v>0</v>
      </c>
      <c r="K45" s="34"/>
      <c r="L45" s="35"/>
      <c r="M45" s="36">
        <f>M2+SUM(M34:M39)+SUM(M22:M29)+SUM(M10:M17)+SUM(M4:M6)-M44</f>
        <v>7</v>
      </c>
      <c r="N45" s="34"/>
      <c r="O45" s="35"/>
      <c r="P45" s="36">
        <f>P2+SUM(P34:P39)+SUM(P22:P29)+SUM(P10:P17)+SUM(P4:P6)-P44</f>
        <v>8</v>
      </c>
      <c r="Q45" s="34"/>
      <c r="R45" s="35"/>
      <c r="S45" s="36">
        <f>S2+SUM(S34:S39)+SUM(S22:S29)+SUM(S10:S17)+SUM(S4:S6)-S44</f>
        <v>0</v>
      </c>
      <c r="T45" s="34"/>
      <c r="U45" s="35"/>
      <c r="V45" s="36">
        <f>V2+SUM(V34:V39)+SUM(V22:V29)+SUM(V10:V17)+SUM(V4:V6)-V44</f>
        <v>20</v>
      </c>
      <c r="W45" s="34"/>
      <c r="X45" s="35"/>
      <c r="Y45" s="36">
        <f>Y2+SUM(Y34:Y39)+SUM(Y22:Y29)+SUM(Y10:Y17)+SUM(Y4:Y6)-Y44</f>
        <v>2</v>
      </c>
      <c r="Z45" s="73"/>
      <c r="AA45" s="74"/>
      <c r="AB45" s="75">
        <f>AB2+SUM(AB34:AB39)+SUM(AB22:AB29)+SUM(AB10:AB17)+SUM(AB4:AB6)-AB44</f>
        <v>6</v>
      </c>
      <c r="AC45" s="73"/>
      <c r="AD45" s="74"/>
      <c r="AE45" s="75">
        <f>AE2+SUM(AE34:AE39)+SUM(AE22:AE29)+SUM(AE10:AE17)+SUM(AE4:AE6)-AE44</f>
        <v>9</v>
      </c>
    </row>
    <row r="46" spans="1:31" x14ac:dyDescent="0.25">
      <c r="B46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11"/>
      <c r="AC46" s="11"/>
    </row>
  </sheetData>
  <dataValidations count="1">
    <dataValidation type="list" allowBlank="1" showInputMessage="1" showErrorMessage="1" sqref="B7 E30:E31 AC30:AC31 Z40:Z41 K30:K31 N30:N31 Q30:Q31 T30:T31 W30:W31 Z30:Z31 B18:B19 B30:B31 B40:B41 E7 AC7 H7 K7 N7 Q7 T7 W7 Z7 E18:E19 AC18:AC19 H18:H19 K18:K19 N18:N19 Q18:Q19 T18:T19 W18:W19 Z18:Z19 E40:E41 AC40:AC41 H40:H41 K40:K41 N40:N41 Q40:Q41 T40:T41 W40:W41 H31" xr:uid="{B9050106-97E8-42B3-84D6-6609ECC596B3}">
      <formula1>PLAYERS</formula1>
    </dataValidation>
  </dataValidations>
  <pageMargins left="1" right="1" top="1" bottom="1" header="0.5" footer="0.5"/>
  <pageSetup paperSize="9" scale="43" orientation="landscape" r:id="rId1"/>
  <headerFooter>
    <oddHeader>&amp;C&amp;A</oddHeader>
    <oddFooter>&amp;CPage &amp;P</oddFooter>
  </headerFooter>
  <drawing r:id="rId2"/>
  <legacyDrawing r:id="rId3"/>
  <controls>
    <mc:AlternateContent xmlns:mc="http://schemas.openxmlformats.org/markup-compatibility/2006">
      <mc:Choice Requires="x14">
        <control shapeId="5122" r:id="rId4" name="PlayersCombo2">
          <controlPr defaultSize="0" autoLine="0" autoPict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0</xdr:col>
                <xdr:colOff>129540</xdr:colOff>
                <xdr:row>1</xdr:row>
                <xdr:rowOff>160020</xdr:rowOff>
              </to>
            </anchor>
          </controlPr>
        </control>
      </mc:Choice>
      <mc:Fallback>
        <control shapeId="5122" r:id="rId4" name="PlayersCombo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B8C03-7892-4F61-901F-C66ED68CE281}">
  <sheetPr codeName="Foglio6"/>
  <dimension ref="A1:AF64"/>
  <sheetViews>
    <sheetView zoomScale="55" zoomScaleNormal="55" workbookViewId="0">
      <pane ySplit="1" topLeftCell="A2" activePane="bottomLeft" state="frozen"/>
      <selection pane="bottomLeft" activeCell="AH24" sqref="AH24:AI24"/>
    </sheetView>
  </sheetViews>
  <sheetFormatPr defaultRowHeight="13.8" x14ac:dyDescent="0.25"/>
  <cols>
    <col min="1" max="1" width="7" style="10" customWidth="1"/>
    <col min="2" max="2" width="17.19921875" style="51" customWidth="1"/>
    <col min="3" max="3" width="4.5" style="11" bestFit="1" customWidth="1"/>
    <col min="4" max="4" width="5.19921875" style="11" customWidth="1"/>
    <col min="5" max="5" width="17.8984375" style="51" customWidth="1"/>
    <col min="6" max="6" width="3.3984375" style="11" bestFit="1" customWidth="1"/>
    <col min="7" max="7" width="5.19921875" style="11" bestFit="1" customWidth="1"/>
    <col min="8" max="8" width="17.8984375" style="51" bestFit="1" customWidth="1"/>
    <col min="9" max="9" width="3.3984375" style="11" bestFit="1" customWidth="1"/>
    <col min="10" max="10" width="5.19921875" style="11" bestFit="1" customWidth="1"/>
    <col min="11" max="11" width="16.5" style="51" bestFit="1" customWidth="1"/>
    <col min="12" max="12" width="4.5" style="11" bestFit="1" customWidth="1"/>
    <col min="13" max="13" width="5.19921875" style="11" bestFit="1" customWidth="1"/>
    <col min="14" max="14" width="11.69921875" style="51" bestFit="1" customWidth="1"/>
    <col min="15" max="15" width="4.5" style="11" bestFit="1" customWidth="1"/>
    <col min="16" max="16" width="5.19921875" style="11" bestFit="1" customWidth="1"/>
    <col min="17" max="17" width="17.69921875" style="51" bestFit="1" customWidth="1"/>
    <col min="18" max="18" width="4.5" style="11" bestFit="1" customWidth="1"/>
    <col min="19" max="19" width="5.19921875" style="11" bestFit="1" customWidth="1"/>
    <col min="20" max="20" width="13" style="51" bestFit="1" customWidth="1"/>
    <col min="21" max="21" width="3.3984375" style="11" bestFit="1" customWidth="1"/>
    <col min="22" max="22" width="5.3984375" style="11" bestFit="1" customWidth="1"/>
    <col min="23" max="23" width="15.8984375" style="51" bestFit="1" customWidth="1"/>
    <col min="24" max="24" width="4.5" style="11" bestFit="1" customWidth="1"/>
    <col min="25" max="25" width="4.09765625" style="11" customWidth="1"/>
    <col min="26" max="26" width="11.69921875" style="51" bestFit="1" customWidth="1"/>
    <col min="27" max="27" width="4.5" style="11" bestFit="1" customWidth="1"/>
    <col min="28" max="28" width="4.09765625" style="11" bestFit="1" customWidth="1"/>
    <col min="29" max="29" width="11.69921875" style="51" bestFit="1" customWidth="1"/>
    <col min="30" max="30" width="3.3984375" style="11" bestFit="1" customWidth="1"/>
    <col min="31" max="31" width="5.19921875" style="11" bestFit="1" customWidth="1"/>
    <col min="32" max="32" width="9.19921875" customWidth="1"/>
    <col min="33" max="1034" width="10.69921875" customWidth="1"/>
  </cols>
  <sheetData>
    <row r="1" spans="1:32" s="1" customFormat="1" ht="16.2" thickBot="1" x14ac:dyDescent="0.35">
      <c r="A1" s="31"/>
      <c r="B1" s="18" t="s">
        <v>0</v>
      </c>
      <c r="C1" s="121"/>
      <c r="D1" s="19"/>
      <c r="E1" s="18" t="s">
        <v>1</v>
      </c>
      <c r="F1" s="19"/>
      <c r="G1" s="19"/>
      <c r="H1" s="18" t="s">
        <v>2</v>
      </c>
      <c r="I1" s="19"/>
      <c r="J1" s="19"/>
      <c r="K1" s="18" t="s">
        <v>3</v>
      </c>
      <c r="L1" s="19"/>
      <c r="M1" s="19"/>
      <c r="N1" s="18" t="s">
        <v>4</v>
      </c>
      <c r="O1" s="19"/>
      <c r="P1" s="19"/>
      <c r="Q1" s="18" t="s">
        <v>5</v>
      </c>
      <c r="R1" s="19"/>
      <c r="S1" s="19"/>
      <c r="T1" s="18" t="s">
        <v>6</v>
      </c>
      <c r="U1" s="19"/>
      <c r="V1" s="19"/>
      <c r="W1" s="18" t="s">
        <v>7</v>
      </c>
      <c r="X1" s="19"/>
      <c r="Y1" s="19"/>
      <c r="Z1" s="18" t="s">
        <v>467</v>
      </c>
      <c r="AA1" s="19"/>
      <c r="AB1" s="19"/>
      <c r="AC1" s="18" t="s">
        <v>468</v>
      </c>
      <c r="AD1" s="19"/>
      <c r="AE1" s="63"/>
    </row>
    <row r="2" spans="1:32" x14ac:dyDescent="0.25">
      <c r="A2" s="30" t="s">
        <v>13</v>
      </c>
      <c r="B2" s="3"/>
      <c r="D2" s="14">
        <f>Ia!D45</f>
        <v>-5</v>
      </c>
      <c r="E2" s="3"/>
      <c r="G2" s="14">
        <f>Ia!G45</f>
        <v>5</v>
      </c>
      <c r="H2" s="3"/>
      <c r="J2" s="14">
        <f>Ia!J45</f>
        <v>0</v>
      </c>
      <c r="K2" s="3"/>
      <c r="M2" s="14">
        <f>Ia!M45</f>
        <v>7</v>
      </c>
      <c r="N2" s="3"/>
      <c r="P2" s="14">
        <f>Ia!P45</f>
        <v>8</v>
      </c>
      <c r="Q2" s="3"/>
      <c r="S2" s="14">
        <f>Ia!S45</f>
        <v>0</v>
      </c>
      <c r="T2" s="3"/>
      <c r="V2" s="14">
        <f>Ia!V45</f>
        <v>20</v>
      </c>
      <c r="W2" s="3"/>
      <c r="Y2" s="14">
        <f>Ia!Y45</f>
        <v>2</v>
      </c>
      <c r="Z2" s="3"/>
      <c r="AB2" s="14">
        <f>Ia!AB45</f>
        <v>6</v>
      </c>
      <c r="AC2" s="55"/>
      <c r="AE2" s="64">
        <f>Ia!AE45</f>
        <v>9</v>
      </c>
    </row>
    <row r="3" spans="1:32" ht="20.399999999999999" thickBot="1" x14ac:dyDescent="0.45">
      <c r="A3" s="23"/>
      <c r="B3" s="4" t="s">
        <v>8</v>
      </c>
      <c r="C3" s="111" t="s">
        <v>697</v>
      </c>
      <c r="D3" s="38" t="s">
        <v>696</v>
      </c>
      <c r="E3" s="4" t="s">
        <v>8</v>
      </c>
      <c r="F3" s="111" t="s">
        <v>697</v>
      </c>
      <c r="G3" s="38" t="s">
        <v>696</v>
      </c>
      <c r="H3" s="4" t="s">
        <v>8</v>
      </c>
      <c r="I3" s="111" t="s">
        <v>697</v>
      </c>
      <c r="J3" s="38" t="s">
        <v>696</v>
      </c>
      <c r="K3" s="4" t="s">
        <v>8</v>
      </c>
      <c r="L3" s="111" t="s">
        <v>697</v>
      </c>
      <c r="M3" s="38" t="s">
        <v>696</v>
      </c>
      <c r="N3" s="4" t="s">
        <v>8</v>
      </c>
      <c r="O3" s="111" t="s">
        <v>697</v>
      </c>
      <c r="P3" s="38" t="s">
        <v>696</v>
      </c>
      <c r="Q3" s="4" t="s">
        <v>8</v>
      </c>
      <c r="R3" s="111" t="s">
        <v>697</v>
      </c>
      <c r="S3" s="38" t="s">
        <v>696</v>
      </c>
      <c r="T3" s="4" t="s">
        <v>8</v>
      </c>
      <c r="U3" s="111" t="s">
        <v>697</v>
      </c>
      <c r="V3" s="38" t="s">
        <v>696</v>
      </c>
      <c r="W3" s="4" t="s">
        <v>8</v>
      </c>
      <c r="X3" s="111" t="s">
        <v>697</v>
      </c>
      <c r="Y3" s="38" t="s">
        <v>696</v>
      </c>
      <c r="Z3" s="4" t="s">
        <v>8</v>
      </c>
      <c r="AA3" s="111" t="s">
        <v>697</v>
      </c>
      <c r="AB3" s="38" t="s">
        <v>696</v>
      </c>
      <c r="AC3" s="20" t="s">
        <v>8</v>
      </c>
      <c r="AD3" s="111" t="s">
        <v>697</v>
      </c>
      <c r="AE3" s="65" t="s">
        <v>696</v>
      </c>
      <c r="AF3" t="str">
        <f>B1</f>
        <v>Io</v>
      </c>
    </row>
    <row r="4" spans="1:32" s="28" customFormat="1" ht="14.4" thickTop="1" x14ac:dyDescent="0.25">
      <c r="A4" s="24">
        <v>1</v>
      </c>
      <c r="B4" s="25" t="str">
        <f>I!B4</f>
        <v>STRAKOSHA</v>
      </c>
      <c r="C4" s="26">
        <f>I!C4</f>
        <v>16</v>
      </c>
      <c r="D4" s="122"/>
      <c r="E4" s="101" t="str">
        <f>I!D4</f>
        <v>PERIN</v>
      </c>
      <c r="F4" s="26">
        <f>I!E4</f>
        <v>5</v>
      </c>
      <c r="G4" s="32"/>
      <c r="H4" s="25" t="str">
        <f>I!F4</f>
        <v>LAFONT</v>
      </c>
      <c r="I4" s="26">
        <f>I!G4</f>
        <v>13</v>
      </c>
      <c r="J4" s="32"/>
      <c r="K4" s="25">
        <f>I!H4</f>
        <v>0</v>
      </c>
      <c r="L4" s="26">
        <f>I!I4</f>
        <v>24</v>
      </c>
      <c r="M4" s="32"/>
      <c r="N4" s="25">
        <f>I!J4</f>
        <v>0</v>
      </c>
      <c r="O4" s="26">
        <f>I!K4</f>
        <v>26</v>
      </c>
      <c r="P4" s="32"/>
      <c r="Q4" s="25">
        <f>I!L4</f>
        <v>0</v>
      </c>
      <c r="R4" s="26">
        <f>I!M4</f>
        <v>2</v>
      </c>
      <c r="S4" s="32"/>
      <c r="T4" s="101">
        <f>I!N4</f>
        <v>0</v>
      </c>
      <c r="U4" s="26">
        <f>I!O4</f>
        <v>7</v>
      </c>
      <c r="V4" s="32">
        <v>9</v>
      </c>
      <c r="W4" s="25">
        <f>I!P4</f>
        <v>0</v>
      </c>
      <c r="X4" s="26">
        <f>I!Q4</f>
        <v>7</v>
      </c>
      <c r="Y4" s="32"/>
      <c r="Z4" s="27">
        <f>I!R4</f>
        <v>0</v>
      </c>
      <c r="AA4" s="26">
        <f>I!S4</f>
        <v>7</v>
      </c>
      <c r="AB4" s="32"/>
      <c r="AC4" s="27">
        <f>I!T4</f>
        <v>0</v>
      </c>
      <c r="AD4" s="26">
        <f>I!U4</f>
        <v>20</v>
      </c>
      <c r="AE4" s="68"/>
      <c r="AF4" s="28" t="str">
        <f>E1</f>
        <v>Aguzzoni</v>
      </c>
    </row>
    <row r="5" spans="1:32" s="28" customFormat="1" x14ac:dyDescent="0.25">
      <c r="A5" s="24">
        <v>2</v>
      </c>
      <c r="B5" s="25" t="str">
        <f>I!B5</f>
        <v>PROTO</v>
      </c>
      <c r="C5" s="26">
        <f>I!C5</f>
        <v>1</v>
      </c>
      <c r="D5" s="32"/>
      <c r="E5" s="25" t="str">
        <f>I!D5</f>
        <v>SORRENTINO</v>
      </c>
      <c r="F5" s="26">
        <f>I!E5</f>
        <v>7</v>
      </c>
      <c r="G5" s="32"/>
      <c r="H5" s="101" t="str">
        <f>I!F5</f>
        <v>OSPINA</v>
      </c>
      <c r="I5" s="26">
        <f>I!G5</f>
        <v>4</v>
      </c>
      <c r="J5" s="32"/>
      <c r="K5" s="25">
        <f>I!H5</f>
        <v>0</v>
      </c>
      <c r="L5" s="26">
        <f>I!I5</f>
        <v>1</v>
      </c>
      <c r="M5" s="32"/>
      <c r="N5" s="25">
        <f>I!J5</f>
        <v>0</v>
      </c>
      <c r="O5" s="26">
        <f>I!K5</f>
        <v>1</v>
      </c>
      <c r="P5" s="32"/>
      <c r="Q5" s="101">
        <f>I!L5</f>
        <v>0</v>
      </c>
      <c r="R5" s="26">
        <f>I!M5</f>
        <v>4</v>
      </c>
      <c r="S5" s="32">
        <v>7</v>
      </c>
      <c r="T5" s="25">
        <f>I!N5</f>
        <v>0</v>
      </c>
      <c r="U5" s="26">
        <f>I!O5</f>
        <v>19</v>
      </c>
      <c r="V5" s="32"/>
      <c r="W5" s="101">
        <f>I!P5</f>
        <v>0</v>
      </c>
      <c r="X5" s="26">
        <f>I!Q5</f>
        <v>8</v>
      </c>
      <c r="Y5" s="32">
        <v>10</v>
      </c>
      <c r="Z5" s="27">
        <f>I!R5</f>
        <v>0</v>
      </c>
      <c r="AA5" s="26">
        <f>I!S5</f>
        <v>10</v>
      </c>
      <c r="AB5" s="32"/>
      <c r="AC5" s="120">
        <f>I!T5</f>
        <v>0</v>
      </c>
      <c r="AD5" s="26">
        <f>I!U5</f>
        <v>1</v>
      </c>
      <c r="AE5" s="68">
        <v>1</v>
      </c>
      <c r="AF5" s="28" t="str">
        <f>H1</f>
        <v>Baroncini</v>
      </c>
    </row>
    <row r="6" spans="1:32" s="28" customFormat="1" x14ac:dyDescent="0.25">
      <c r="A6" s="24">
        <v>3</v>
      </c>
      <c r="B6" s="101" t="str">
        <f>I!B6</f>
        <v>SPORTIELLO</v>
      </c>
      <c r="C6" s="26">
        <f>I!C6</f>
        <v>2</v>
      </c>
      <c r="D6" s="32">
        <v>7</v>
      </c>
      <c r="E6" s="29" t="str">
        <f>I!D6</f>
        <v>BERISHA E</v>
      </c>
      <c r="F6" s="26">
        <f>I!E6</f>
        <v>11</v>
      </c>
      <c r="G6" s="32"/>
      <c r="H6" s="105" t="str">
        <f>I!F6</f>
        <v>MARCHETTI</v>
      </c>
      <c r="I6" s="26">
        <f>I!G6</f>
        <v>12</v>
      </c>
      <c r="J6" s="32">
        <v>4</v>
      </c>
      <c r="K6" s="105">
        <f>I!H6</f>
        <v>0</v>
      </c>
      <c r="L6" s="26">
        <f>I!I6</f>
        <v>1</v>
      </c>
      <c r="M6" s="32">
        <v>8</v>
      </c>
      <c r="N6" s="105">
        <f>I!J6</f>
        <v>0</v>
      </c>
      <c r="O6" s="26">
        <f>I!K6</f>
        <v>1</v>
      </c>
      <c r="P6" s="32"/>
      <c r="Q6" s="105" t="s">
        <v>303</v>
      </c>
      <c r="R6" s="26">
        <f>I!M6</f>
        <v>1</v>
      </c>
      <c r="S6" s="32">
        <v>1</v>
      </c>
      <c r="T6" s="29">
        <f>I!N6</f>
        <v>0</v>
      </c>
      <c r="U6" s="26">
        <f>I!O6</f>
        <v>1</v>
      </c>
      <c r="V6" s="32"/>
      <c r="W6" s="105">
        <f>I!P6</f>
        <v>0</v>
      </c>
      <c r="X6" s="26">
        <f>I!Q6</f>
        <v>4</v>
      </c>
      <c r="Y6" s="32">
        <v>11</v>
      </c>
      <c r="Z6" s="118">
        <f>I!R6</f>
        <v>0</v>
      </c>
      <c r="AA6" s="26">
        <f>I!S6</f>
        <v>1</v>
      </c>
      <c r="AB6" s="32">
        <v>2</v>
      </c>
      <c r="AC6" s="118" t="s">
        <v>231</v>
      </c>
      <c r="AD6" s="26">
        <f>I!U6</f>
        <v>1</v>
      </c>
      <c r="AE6" s="68">
        <v>3</v>
      </c>
      <c r="AF6" s="28" t="str">
        <f>K1</f>
        <v>Di Muzio</v>
      </c>
    </row>
    <row r="7" spans="1:32" s="28" customFormat="1" x14ac:dyDescent="0.25">
      <c r="A7" s="24" t="s">
        <v>19</v>
      </c>
      <c r="B7" s="81" t="s">
        <v>202</v>
      </c>
      <c r="C7" s="82">
        <v>6</v>
      </c>
      <c r="D7" s="83"/>
      <c r="E7" s="81" t="s">
        <v>239</v>
      </c>
      <c r="F7" s="82"/>
      <c r="G7" s="83"/>
      <c r="H7" s="81" t="s">
        <v>605</v>
      </c>
      <c r="I7" s="82"/>
      <c r="J7" s="83"/>
      <c r="K7" s="81" t="s">
        <v>117</v>
      </c>
      <c r="L7" s="82">
        <v>1</v>
      </c>
      <c r="M7" s="83"/>
      <c r="N7" s="81" t="s">
        <v>107</v>
      </c>
      <c r="O7" s="82"/>
      <c r="P7" s="83"/>
      <c r="Q7" s="81" t="s">
        <v>369</v>
      </c>
      <c r="R7" s="82">
        <v>6</v>
      </c>
      <c r="S7" s="83"/>
      <c r="T7" s="81" t="s">
        <v>83</v>
      </c>
      <c r="U7" s="82">
        <v>3</v>
      </c>
      <c r="V7" s="83"/>
      <c r="W7" s="81" t="s">
        <v>616</v>
      </c>
      <c r="X7" s="82">
        <v>2</v>
      </c>
      <c r="Y7" s="83"/>
      <c r="Z7" s="81"/>
      <c r="AA7" s="82">
        <v>1</v>
      </c>
      <c r="AB7" s="90"/>
      <c r="AC7" s="92"/>
      <c r="AD7" s="82">
        <v>5</v>
      </c>
      <c r="AE7" s="93"/>
      <c r="AF7" s="28" t="str">
        <f>N1</f>
        <v>Foschini</v>
      </c>
    </row>
    <row r="8" spans="1:32" s="28" customFormat="1" x14ac:dyDescent="0.25">
      <c r="A8" s="24" t="s">
        <v>20</v>
      </c>
      <c r="B8" s="25"/>
      <c r="C8" s="26"/>
      <c r="D8" s="84"/>
      <c r="E8" s="25"/>
      <c r="F8" s="26"/>
      <c r="G8" s="84"/>
      <c r="H8" s="25" t="s">
        <v>657</v>
      </c>
      <c r="I8" s="26">
        <v>1</v>
      </c>
      <c r="J8" s="84"/>
      <c r="K8" s="25"/>
      <c r="L8" s="26"/>
      <c r="M8" s="84"/>
      <c r="N8" s="25"/>
      <c r="O8" s="26"/>
      <c r="P8" s="84"/>
      <c r="Q8" s="25" t="s">
        <v>511</v>
      </c>
      <c r="R8" s="26">
        <v>2</v>
      </c>
      <c r="S8" s="84"/>
      <c r="T8" s="25"/>
      <c r="U8" s="26"/>
      <c r="V8" s="84"/>
      <c r="W8" s="25" t="s">
        <v>453</v>
      </c>
      <c r="X8" s="26">
        <v>1</v>
      </c>
      <c r="Y8" s="84"/>
      <c r="Z8" s="25"/>
      <c r="AA8" s="26"/>
      <c r="AB8" s="41"/>
      <c r="AC8" s="27"/>
      <c r="AD8" s="26">
        <v>1</v>
      </c>
      <c r="AE8" s="66"/>
      <c r="AF8" s="28" t="str">
        <f>Q1</f>
        <v>Galletti N.</v>
      </c>
    </row>
    <row r="9" spans="1:32" s="28" customFormat="1" x14ac:dyDescent="0.25">
      <c r="A9" s="24" t="s">
        <v>21</v>
      </c>
      <c r="B9" s="25"/>
      <c r="C9" s="26"/>
      <c r="D9" s="84"/>
      <c r="E9" s="25"/>
      <c r="F9" s="26"/>
      <c r="G9" s="84"/>
      <c r="H9" s="25"/>
      <c r="I9" s="26"/>
      <c r="J9" s="84"/>
      <c r="K9" s="25"/>
      <c r="L9" s="26"/>
      <c r="M9" s="84"/>
      <c r="N9" s="25"/>
      <c r="O9" s="26"/>
      <c r="P9" s="84"/>
      <c r="Q9" s="25"/>
      <c r="R9" s="26"/>
      <c r="S9" s="84"/>
      <c r="T9" s="25"/>
      <c r="U9" s="26"/>
      <c r="V9" s="84"/>
      <c r="W9" s="25"/>
      <c r="X9" s="26"/>
      <c r="Y9" s="84"/>
      <c r="Z9" s="25"/>
      <c r="AA9" s="26"/>
      <c r="AB9" s="41"/>
      <c r="AC9" s="27"/>
      <c r="AD9" s="26"/>
      <c r="AE9" s="66"/>
      <c r="AF9" s="28" t="str">
        <f>T1</f>
        <v>Pasquali</v>
      </c>
    </row>
    <row r="10" spans="1:32" s="2" customFormat="1" x14ac:dyDescent="0.25">
      <c r="A10" s="30" t="s">
        <v>14</v>
      </c>
      <c r="B10" s="5"/>
      <c r="C10" s="12">
        <f ca="1">3-COUNTA(B4:B9)+CountStrike(B4:B9)</f>
        <v>0</v>
      </c>
      <c r="D10" s="15">
        <f>SUM(D4:D6)+SUM(D7:D9)-SUM(C7:C9)</f>
        <v>1</v>
      </c>
      <c r="E10" s="5"/>
      <c r="F10" s="12">
        <f t="shared" ref="F10" ca="1" si="0">3-COUNTA(E4:E9)+CountStrike(E4:E9)</f>
        <v>0</v>
      </c>
      <c r="G10" s="15">
        <f t="shared" ref="G10" si="1">SUM(G4:G6)+SUM(G7:G9)-SUM(F7:F9)</f>
        <v>0</v>
      </c>
      <c r="H10" s="5"/>
      <c r="I10" s="12">
        <f t="shared" ref="I10" ca="1" si="2">3-COUNTA(H4:H9)+CountStrike(H4:H9)</f>
        <v>0</v>
      </c>
      <c r="J10" s="15">
        <f t="shared" ref="J10" si="3">SUM(J4:J6)+SUM(J7:J9)-SUM(I7:I9)</f>
        <v>3</v>
      </c>
      <c r="K10" s="5"/>
      <c r="L10" s="12">
        <f t="shared" ref="L10" ca="1" si="4">3-COUNTA(K4:K9)+CountStrike(K4:K9)</f>
        <v>0</v>
      </c>
      <c r="M10" s="15">
        <f t="shared" ref="M10" si="5">SUM(M4:M6)+SUM(M7:M9)-SUM(L7:L9)</f>
        <v>7</v>
      </c>
      <c r="N10" s="5"/>
      <c r="O10" s="12">
        <f t="shared" ref="O10:X10" ca="1" si="6">3-COUNTA(N4:N9)+CountStrike(N4:N9)</f>
        <v>0</v>
      </c>
      <c r="P10" s="15">
        <f t="shared" ref="P10" si="7">SUM(P4:P6)+SUM(P7:P9)-SUM(O7:O9)</f>
        <v>0</v>
      </c>
      <c r="Q10" s="5"/>
      <c r="R10" s="12">
        <f t="shared" ref="R10:AA10" ca="1" si="8">3-COUNTA(Q4:Q9)+CountStrike(Q4:Q9)</f>
        <v>0</v>
      </c>
      <c r="S10" s="15">
        <f t="shared" ref="S10" si="9">SUM(S4:S6)+SUM(S7:S9)-SUM(R7:R9)</f>
        <v>0</v>
      </c>
      <c r="T10" s="5"/>
      <c r="U10" s="12">
        <f t="shared" ref="U10" ca="1" si="10">3-COUNTA(T4:T9)+CountStrike(T4:T9)</f>
        <v>0</v>
      </c>
      <c r="V10" s="15">
        <f t="shared" ref="V10" si="11">SUM(V4:V6)+SUM(V7:V9)-SUM(U7:U9)</f>
        <v>6</v>
      </c>
      <c r="W10" s="5"/>
      <c r="X10" s="12">
        <f t="shared" ca="1" si="6"/>
        <v>0</v>
      </c>
      <c r="Y10" s="15">
        <f t="shared" ref="Y10" si="12">SUM(Y4:Y6)+SUM(Y7:Y9)-SUM(X7:X9)</f>
        <v>18</v>
      </c>
      <c r="Z10" s="5"/>
      <c r="AA10" s="12">
        <f t="shared" ca="1" si="8"/>
        <v>1</v>
      </c>
      <c r="AB10" s="15">
        <f t="shared" ref="AB10" si="13">SUM(AB4:AB6)+SUM(AB7:AB9)-SUM(AA7:AA9)</f>
        <v>1</v>
      </c>
      <c r="AC10" s="21"/>
      <c r="AD10" s="12">
        <f t="shared" ref="AD10" ca="1" si="14">3-COUNTA(AC4:AC9)+CountStrike(AC4:AC9)</f>
        <v>2</v>
      </c>
      <c r="AE10" s="67">
        <f t="shared" ref="AE10" si="15">SUM(AE4:AE6)+SUM(AE7:AE9)-SUM(AD7:AD9)</f>
        <v>-2</v>
      </c>
      <c r="AF10" s="28" t="str">
        <f>W1</f>
        <v>Righetti</v>
      </c>
    </row>
    <row r="11" spans="1:32" s="2" customFormat="1" ht="20.399999999999999" thickBot="1" x14ac:dyDescent="0.45">
      <c r="A11" s="30"/>
      <c r="B11" s="4" t="s">
        <v>9</v>
      </c>
      <c r="C11" s="111" t="s">
        <v>697</v>
      </c>
      <c r="D11" s="38" t="s">
        <v>696</v>
      </c>
      <c r="E11" s="4" t="s">
        <v>9</v>
      </c>
      <c r="F11" s="111" t="s">
        <v>697</v>
      </c>
      <c r="G11" s="38" t="s">
        <v>696</v>
      </c>
      <c r="H11" s="4" t="s">
        <v>9</v>
      </c>
      <c r="I11" s="111" t="s">
        <v>697</v>
      </c>
      <c r="J11" s="38" t="s">
        <v>696</v>
      </c>
      <c r="K11" s="4" t="s">
        <v>9</v>
      </c>
      <c r="L11" s="111" t="s">
        <v>697</v>
      </c>
      <c r="M11" s="38" t="s">
        <v>696</v>
      </c>
      <c r="N11" s="4" t="s">
        <v>9</v>
      </c>
      <c r="O11" s="111" t="s">
        <v>697</v>
      </c>
      <c r="P11" s="38" t="s">
        <v>696</v>
      </c>
      <c r="Q11" s="4" t="s">
        <v>9</v>
      </c>
      <c r="R11" s="111" t="s">
        <v>697</v>
      </c>
      <c r="S11" s="38" t="s">
        <v>696</v>
      </c>
      <c r="T11" s="4" t="s">
        <v>9</v>
      </c>
      <c r="U11" s="111" t="s">
        <v>697</v>
      </c>
      <c r="V11" s="38" t="s">
        <v>696</v>
      </c>
      <c r="W11" s="4" t="s">
        <v>9</v>
      </c>
      <c r="X11" s="111" t="s">
        <v>697</v>
      </c>
      <c r="Y11" s="38" t="s">
        <v>696</v>
      </c>
      <c r="Z11" s="4" t="s">
        <v>9</v>
      </c>
      <c r="AA11" s="111" t="s">
        <v>697</v>
      </c>
      <c r="AB11" s="38" t="s">
        <v>696</v>
      </c>
      <c r="AC11" s="20" t="s">
        <v>9</v>
      </c>
      <c r="AD11" s="111" t="s">
        <v>697</v>
      </c>
      <c r="AE11" s="65" t="s">
        <v>696</v>
      </c>
      <c r="AF11" s="28" t="str">
        <f>Z1</f>
        <v>Valli F.</v>
      </c>
    </row>
    <row r="12" spans="1:32" s="28" customFormat="1" ht="14.4" thickTop="1" x14ac:dyDescent="0.25">
      <c r="A12" s="24">
        <v>1</v>
      </c>
      <c r="B12" s="43" t="str">
        <f>I!B9</f>
        <v>KOULIBALY</v>
      </c>
      <c r="C12" s="26">
        <f>I!C9</f>
        <v>17</v>
      </c>
      <c r="D12" s="32"/>
      <c r="E12" s="103" t="str">
        <f>I!D9</f>
        <v>SKRINIAR</v>
      </c>
      <c r="F12" s="26">
        <f>I!E9</f>
        <v>22</v>
      </c>
      <c r="G12" s="32">
        <v>0</v>
      </c>
      <c r="H12" s="103" t="str">
        <f>I!F9</f>
        <v>HATEBOER</v>
      </c>
      <c r="I12" s="26">
        <f>I!G9</f>
        <v>4</v>
      </c>
      <c r="J12" s="32">
        <v>5</v>
      </c>
      <c r="K12" s="103">
        <f>I!H9</f>
        <v>0</v>
      </c>
      <c r="L12" s="26">
        <f>I!I9</f>
        <v>1</v>
      </c>
      <c r="M12" s="32">
        <v>1</v>
      </c>
      <c r="N12" s="43">
        <f>I!J9</f>
        <v>0</v>
      </c>
      <c r="O12" s="26">
        <f>I!K9</f>
        <v>21</v>
      </c>
      <c r="P12" s="32"/>
      <c r="Q12" s="43">
        <f>I!L9</f>
        <v>0</v>
      </c>
      <c r="R12" s="26">
        <f>I!M9</f>
        <v>13</v>
      </c>
      <c r="S12" s="32"/>
      <c r="T12" s="43">
        <f>I!N9</f>
        <v>0</v>
      </c>
      <c r="U12" s="26">
        <f>I!O9</f>
        <v>9</v>
      </c>
      <c r="V12" s="32"/>
      <c r="W12" s="43">
        <f>I!P9</f>
        <v>0</v>
      </c>
      <c r="X12" s="26">
        <f>I!Q9</f>
        <v>18</v>
      </c>
      <c r="Y12" s="32"/>
      <c r="Z12" s="44">
        <f>I!R9</f>
        <v>0</v>
      </c>
      <c r="AA12" s="26">
        <f>I!S9</f>
        <v>6</v>
      </c>
      <c r="AB12" s="32"/>
      <c r="AC12" s="44">
        <f>I!T9</f>
        <v>0</v>
      </c>
      <c r="AD12" s="26">
        <f>I!U9</f>
        <v>2</v>
      </c>
      <c r="AE12" s="68"/>
      <c r="AF12" s="28" t="str">
        <f>AC1</f>
        <v>Valli M.</v>
      </c>
    </row>
    <row r="13" spans="1:32" s="28" customFormat="1" x14ac:dyDescent="0.25">
      <c r="A13" s="24">
        <v>2</v>
      </c>
      <c r="B13" s="103" t="str">
        <f>I!B10</f>
        <v>MASIELLO A</v>
      </c>
      <c r="C13" s="26">
        <f>I!C10</f>
        <v>9</v>
      </c>
      <c r="D13" s="32">
        <v>0</v>
      </c>
      <c r="E13" s="43" t="str">
        <f>I!D10</f>
        <v>FLORENZI</v>
      </c>
      <c r="F13" s="26">
        <f>I!E10</f>
        <v>14</v>
      </c>
      <c r="G13" s="32"/>
      <c r="H13" s="103" t="str">
        <f>I!F10</f>
        <v>DE SILVESTRI</v>
      </c>
      <c r="I13" s="26">
        <f>I!G10</f>
        <v>12</v>
      </c>
      <c r="J13" s="32">
        <v>11</v>
      </c>
      <c r="K13" s="43">
        <f>I!H10</f>
        <v>0</v>
      </c>
      <c r="L13" s="26">
        <f>I!I10</f>
        <v>2</v>
      </c>
      <c r="M13" s="32"/>
      <c r="N13" s="43">
        <f>I!J10</f>
        <v>0</v>
      </c>
      <c r="O13" s="26">
        <f>I!K10</f>
        <v>16</v>
      </c>
      <c r="P13" s="32"/>
      <c r="Q13" s="103">
        <f>I!L10</f>
        <v>0</v>
      </c>
      <c r="R13" s="26">
        <f>I!M10</f>
        <v>3</v>
      </c>
      <c r="S13" s="32">
        <v>9</v>
      </c>
      <c r="T13" s="103">
        <f>I!N10</f>
        <v>0</v>
      </c>
      <c r="U13" s="26">
        <f>I!O10</f>
        <v>9</v>
      </c>
      <c r="V13" s="32">
        <v>7</v>
      </c>
      <c r="W13" s="43">
        <f>I!P10</f>
        <v>0</v>
      </c>
      <c r="X13" s="26">
        <f>I!Q10</f>
        <v>7</v>
      </c>
      <c r="Y13" s="32"/>
      <c r="Z13" s="44">
        <f>I!R10</f>
        <v>0</v>
      </c>
      <c r="AA13" s="26">
        <f>I!S10</f>
        <v>10</v>
      </c>
      <c r="AB13" s="32"/>
      <c r="AC13" s="44">
        <f>I!T10</f>
        <v>0</v>
      </c>
      <c r="AD13" s="26">
        <f>I!U10</f>
        <v>16</v>
      </c>
      <c r="AE13" s="68"/>
    </row>
    <row r="14" spans="1:32" s="28" customFormat="1" x14ac:dyDescent="0.25">
      <c r="A14" s="24">
        <v>3</v>
      </c>
      <c r="B14" s="43" t="str">
        <f>I!B11</f>
        <v>CRISCITO</v>
      </c>
      <c r="C14" s="26">
        <f>I!C11</f>
        <v>6</v>
      </c>
      <c r="D14" s="32"/>
      <c r="E14" s="43" t="str">
        <f>I!D11</f>
        <v>N'KOULOU</v>
      </c>
      <c r="F14" s="26">
        <f>I!E11</f>
        <v>5</v>
      </c>
      <c r="G14" s="32"/>
      <c r="H14" s="43" t="str">
        <f>I!F11</f>
        <v>CONTI</v>
      </c>
      <c r="I14" s="26">
        <f>I!G11</f>
        <v>8</v>
      </c>
      <c r="J14" s="32"/>
      <c r="K14" s="43">
        <f>I!H11</f>
        <v>0</v>
      </c>
      <c r="L14" s="26">
        <f>I!I11</f>
        <v>1</v>
      </c>
      <c r="M14" s="32"/>
      <c r="N14" s="103">
        <f>I!J11</f>
        <v>0</v>
      </c>
      <c r="O14" s="26">
        <f>I!K11</f>
        <v>2</v>
      </c>
      <c r="P14" s="32">
        <v>7</v>
      </c>
      <c r="Q14" s="103">
        <f>I!L11</f>
        <v>0</v>
      </c>
      <c r="R14" s="26">
        <f>I!M11</f>
        <v>1</v>
      </c>
      <c r="S14" s="32">
        <v>7</v>
      </c>
      <c r="T14" s="43">
        <f>I!N11</f>
        <v>0</v>
      </c>
      <c r="U14" s="26">
        <f>I!O11</f>
        <v>19</v>
      </c>
      <c r="V14" s="32"/>
      <c r="W14" s="103">
        <f>I!P11</f>
        <v>0</v>
      </c>
      <c r="X14" s="26">
        <f>I!Q11</f>
        <v>1</v>
      </c>
      <c r="Y14" s="32">
        <v>5</v>
      </c>
      <c r="Z14" s="44">
        <f>I!R11</f>
        <v>0</v>
      </c>
      <c r="AA14" s="26">
        <f>I!S11</f>
        <v>6</v>
      </c>
      <c r="AB14" s="32"/>
      <c r="AC14" s="108">
        <f>I!T11</f>
        <v>0</v>
      </c>
      <c r="AD14" s="26">
        <f>I!U11</f>
        <v>10</v>
      </c>
      <c r="AE14" s="68">
        <v>11</v>
      </c>
    </row>
    <row r="15" spans="1:32" s="28" customFormat="1" x14ac:dyDescent="0.25">
      <c r="A15" s="24">
        <v>4</v>
      </c>
      <c r="B15" s="103" t="str">
        <f>I!B12</f>
        <v>CHIRICHES</v>
      </c>
      <c r="C15" s="26">
        <f>I!C12</f>
        <v>1</v>
      </c>
      <c r="D15" s="32">
        <v>1</v>
      </c>
      <c r="E15" s="103" t="str">
        <f>I!D12</f>
        <v>CEPPITELLI</v>
      </c>
      <c r="F15" s="26">
        <f>I!E12</f>
        <v>1</v>
      </c>
      <c r="G15" s="32">
        <v>5</v>
      </c>
      <c r="H15" s="43" t="str">
        <f>I!F12</f>
        <v>CALABRIA</v>
      </c>
      <c r="I15" s="26">
        <f>I!G12</f>
        <v>4</v>
      </c>
      <c r="J15" s="32"/>
      <c r="K15" s="43">
        <f>I!H12</f>
        <v>0</v>
      </c>
      <c r="L15" s="26">
        <f>I!I12</f>
        <v>9</v>
      </c>
      <c r="M15" s="32"/>
      <c r="N15" s="43">
        <f>I!J12</f>
        <v>0</v>
      </c>
      <c r="O15" s="26">
        <f>I!K12</f>
        <v>5</v>
      </c>
      <c r="P15" s="32"/>
      <c r="Q15" s="43">
        <f>I!L12</f>
        <v>0</v>
      </c>
      <c r="R15" s="26">
        <f>I!M12</f>
        <v>5</v>
      </c>
      <c r="S15" s="32"/>
      <c r="T15" s="43">
        <f>I!N12</f>
        <v>0</v>
      </c>
      <c r="U15" s="26">
        <f>I!O12</f>
        <v>18</v>
      </c>
      <c r="V15" s="32"/>
      <c r="W15" s="43">
        <f>I!P12</f>
        <v>0</v>
      </c>
      <c r="X15" s="26">
        <f>I!Q12</f>
        <v>1</v>
      </c>
      <c r="Y15" s="32"/>
      <c r="Z15" s="44">
        <f>I!R12</f>
        <v>0</v>
      </c>
      <c r="AA15" s="26">
        <f>I!S12</f>
        <v>9</v>
      </c>
      <c r="AB15" s="32"/>
      <c r="AC15" s="44">
        <f>I!T12</f>
        <v>0</v>
      </c>
      <c r="AD15" s="26">
        <f>I!U12</f>
        <v>1</v>
      </c>
      <c r="AE15" s="68"/>
    </row>
    <row r="16" spans="1:32" s="28" customFormat="1" x14ac:dyDescent="0.25">
      <c r="A16" s="24">
        <v>5</v>
      </c>
      <c r="B16" s="103" t="str">
        <f>I!B13</f>
        <v>LUKAKU J</v>
      </c>
      <c r="C16" s="26">
        <f>I!C13</f>
        <v>1</v>
      </c>
      <c r="D16" s="32">
        <v>4</v>
      </c>
      <c r="E16" s="103" t="str">
        <f>I!D13</f>
        <v>CACCIATORE</v>
      </c>
      <c r="F16" s="26">
        <f>I!E13</f>
        <v>2</v>
      </c>
      <c r="G16" s="32">
        <v>5</v>
      </c>
      <c r="H16" s="43" t="str">
        <f>I!F13</f>
        <v>MANCINI G</v>
      </c>
      <c r="I16" s="26">
        <f>I!G13</f>
        <v>1</v>
      </c>
      <c r="J16" s="32"/>
      <c r="K16" s="43">
        <f>I!H13</f>
        <v>0</v>
      </c>
      <c r="L16" s="26">
        <f>I!I13</f>
        <v>4</v>
      </c>
      <c r="M16" s="32"/>
      <c r="N16" s="43">
        <f>I!J13</f>
        <v>0</v>
      </c>
      <c r="O16" s="26">
        <f>I!K13</f>
        <v>2</v>
      </c>
      <c r="P16" s="32"/>
      <c r="Q16" s="103">
        <f>I!L13</f>
        <v>0</v>
      </c>
      <c r="R16" s="26">
        <f>I!M13</f>
        <v>2</v>
      </c>
      <c r="S16" s="32">
        <v>7</v>
      </c>
      <c r="T16" s="43">
        <f>I!N13</f>
        <v>0</v>
      </c>
      <c r="U16" s="26">
        <f>I!O13</f>
        <v>4</v>
      </c>
      <c r="V16" s="32"/>
      <c r="W16" s="103">
        <f>I!P13</f>
        <v>0</v>
      </c>
      <c r="X16" s="26">
        <f>I!Q13</f>
        <v>1</v>
      </c>
      <c r="Y16" s="32">
        <v>4</v>
      </c>
      <c r="Z16" s="108">
        <f>I!R13</f>
        <v>0</v>
      </c>
      <c r="AA16" s="26">
        <f>I!S13</f>
        <v>1</v>
      </c>
      <c r="AB16" s="32"/>
      <c r="AC16" s="44">
        <f>I!T13</f>
        <v>0</v>
      </c>
      <c r="AD16" s="26">
        <f>I!U13</f>
        <v>1</v>
      </c>
      <c r="AE16" s="68"/>
    </row>
    <row r="17" spans="1:31" s="28" customFormat="1" x14ac:dyDescent="0.25">
      <c r="A17" s="24">
        <v>6</v>
      </c>
      <c r="B17" s="103" t="str">
        <f>I!B14</f>
        <v>BASTOS</v>
      </c>
      <c r="C17" s="26">
        <f>I!C14</f>
        <v>1</v>
      </c>
      <c r="D17" s="32"/>
      <c r="E17" s="43" t="str">
        <f>I!D14</f>
        <v>RODRIGUEZ R</v>
      </c>
      <c r="F17" s="26">
        <f>I!E14</f>
        <v>1</v>
      </c>
      <c r="G17" s="32"/>
      <c r="H17" s="43" t="str">
        <f>I!F14</f>
        <v>GHOULAM</v>
      </c>
      <c r="I17" s="26">
        <f>I!G14</f>
        <v>5</v>
      </c>
      <c r="J17" s="32"/>
      <c r="K17" s="103">
        <f>I!H14</f>
        <v>0</v>
      </c>
      <c r="L17" s="26">
        <f>I!I14</f>
        <v>1</v>
      </c>
      <c r="M17" s="32">
        <v>6</v>
      </c>
      <c r="N17" s="43">
        <f>I!J14</f>
        <v>0</v>
      </c>
      <c r="O17" s="26">
        <f>I!K14</f>
        <v>1</v>
      </c>
      <c r="P17" s="32"/>
      <c r="Q17" s="103">
        <f>I!L14</f>
        <v>0</v>
      </c>
      <c r="R17" s="26">
        <f>I!M14</f>
        <v>1</v>
      </c>
      <c r="S17" s="32">
        <v>5</v>
      </c>
      <c r="T17" s="103">
        <f>I!N14</f>
        <v>0</v>
      </c>
      <c r="U17" s="26">
        <f>I!O14</f>
        <v>2</v>
      </c>
      <c r="V17" s="32"/>
      <c r="W17" s="103">
        <f>I!P14</f>
        <v>0</v>
      </c>
      <c r="X17" s="26">
        <f>I!Q14</f>
        <v>1</v>
      </c>
      <c r="Y17" s="32">
        <v>4</v>
      </c>
      <c r="Z17" s="108">
        <f>I!R14</f>
        <v>0</v>
      </c>
      <c r="AA17" s="26">
        <f>I!S14</f>
        <v>1</v>
      </c>
      <c r="AB17" s="32">
        <v>5</v>
      </c>
      <c r="AC17" s="108">
        <f>I!T14</f>
        <v>0</v>
      </c>
      <c r="AD17" s="26">
        <f>I!U14</f>
        <v>1</v>
      </c>
      <c r="AE17" s="68">
        <v>3</v>
      </c>
    </row>
    <row r="18" spans="1:31" s="28" customFormat="1" x14ac:dyDescent="0.25">
      <c r="A18" s="24">
        <v>7</v>
      </c>
      <c r="B18" s="43" t="str">
        <f>I!B15</f>
        <v>SILVESTRE</v>
      </c>
      <c r="C18" s="26">
        <f>I!C15</f>
        <v>1</v>
      </c>
      <c r="D18" s="32"/>
      <c r="E18" s="43" t="str">
        <f>I!D15</f>
        <v>PELUSO</v>
      </c>
      <c r="F18" s="26">
        <f>I!E15</f>
        <v>1</v>
      </c>
      <c r="G18" s="32"/>
      <c r="H18" s="43" t="str">
        <f>I!F15</f>
        <v>MARIO RUI</v>
      </c>
      <c r="I18" s="26">
        <f>I!G15</f>
        <v>1</v>
      </c>
      <c r="J18" s="32"/>
      <c r="K18" s="103">
        <f>I!H15</f>
        <v>0</v>
      </c>
      <c r="L18" s="26">
        <f>I!I15</f>
        <v>3</v>
      </c>
      <c r="M18" s="32">
        <v>7</v>
      </c>
      <c r="N18" s="43">
        <f>I!J15</f>
        <v>0</v>
      </c>
      <c r="O18" s="26">
        <f>I!K15</f>
        <v>3</v>
      </c>
      <c r="P18" s="32"/>
      <c r="Q18" s="43">
        <f>I!L15</f>
        <v>0</v>
      </c>
      <c r="R18" s="26">
        <f>I!M15</f>
        <v>2</v>
      </c>
      <c r="S18" s="32"/>
      <c r="T18" s="103">
        <f>I!N15</f>
        <v>0</v>
      </c>
      <c r="U18" s="26">
        <f>I!O15</f>
        <v>3</v>
      </c>
      <c r="V18" s="32">
        <v>10</v>
      </c>
      <c r="W18" s="103">
        <f>I!P15</f>
        <v>0</v>
      </c>
      <c r="X18" s="26">
        <f>I!Q15</f>
        <v>1</v>
      </c>
      <c r="Y18" s="32">
        <v>3</v>
      </c>
      <c r="Z18" s="108">
        <f>I!R15</f>
        <v>0</v>
      </c>
      <c r="AA18" s="26">
        <f>I!S15</f>
        <v>1</v>
      </c>
      <c r="AB18" s="32">
        <v>3</v>
      </c>
      <c r="AC18" s="44">
        <f>I!T15</f>
        <v>0</v>
      </c>
      <c r="AD18" s="26">
        <f>I!U15</f>
        <v>1</v>
      </c>
      <c r="AE18" s="68"/>
    </row>
    <row r="19" spans="1:31" s="28" customFormat="1" x14ac:dyDescent="0.25">
      <c r="A19" s="24">
        <v>8</v>
      </c>
      <c r="B19" s="103" t="str">
        <f>I!B16</f>
        <v>BASTONI</v>
      </c>
      <c r="C19" s="26">
        <f>I!C16</f>
        <v>1</v>
      </c>
      <c r="D19" s="32">
        <v>6</v>
      </c>
      <c r="E19" s="43" t="str">
        <f>I!D16</f>
        <v>D'AMBROSIO</v>
      </c>
      <c r="F19" s="26">
        <f>I!E16</f>
        <v>1</v>
      </c>
      <c r="G19" s="32"/>
      <c r="H19" s="43" t="str">
        <f>I!F16</f>
        <v>PALOMINO</v>
      </c>
      <c r="I19" s="26">
        <f>I!G16</f>
        <v>3</v>
      </c>
      <c r="J19" s="32"/>
      <c r="K19" s="43">
        <f>I!H16</f>
        <v>0</v>
      </c>
      <c r="L19" s="26">
        <f>I!I16</f>
        <v>3</v>
      </c>
      <c r="M19" s="32"/>
      <c r="N19" s="103">
        <f>I!J16</f>
        <v>0</v>
      </c>
      <c r="O19" s="26">
        <f>I!K16</f>
        <v>1</v>
      </c>
      <c r="P19" s="32">
        <v>3</v>
      </c>
      <c r="Q19" s="103" t="s">
        <v>73</v>
      </c>
      <c r="R19" s="26">
        <f>I!M16</f>
        <v>1</v>
      </c>
      <c r="S19" s="32">
        <v>6</v>
      </c>
      <c r="T19" s="103">
        <f>I!N16</f>
        <v>0</v>
      </c>
      <c r="U19" s="26">
        <f>I!O16</f>
        <v>4</v>
      </c>
      <c r="V19" s="32">
        <v>8</v>
      </c>
      <c r="W19" s="43">
        <f>I!P16</f>
        <v>0</v>
      </c>
      <c r="X19" s="26">
        <f>I!Q16</f>
        <v>1</v>
      </c>
      <c r="Y19" s="32"/>
      <c r="Z19" s="44">
        <f>I!R16</f>
        <v>0</v>
      </c>
      <c r="AA19" s="26">
        <f>I!S16</f>
        <v>1</v>
      </c>
      <c r="AB19" s="32"/>
      <c r="AC19" s="44">
        <f>I!T16</f>
        <v>0</v>
      </c>
      <c r="AD19" s="26">
        <f>I!U16</f>
        <v>1</v>
      </c>
      <c r="AE19" s="68"/>
    </row>
    <row r="20" spans="1:31" x14ac:dyDescent="0.25">
      <c r="A20" s="23" t="s">
        <v>19</v>
      </c>
      <c r="B20" s="85" t="s">
        <v>325</v>
      </c>
      <c r="C20" s="86">
        <v>1</v>
      </c>
      <c r="D20" s="83"/>
      <c r="E20" s="85" t="s">
        <v>148</v>
      </c>
      <c r="F20" s="86">
        <v>10</v>
      </c>
      <c r="G20" s="83"/>
      <c r="H20" s="85" t="s">
        <v>135</v>
      </c>
      <c r="I20" s="86"/>
      <c r="J20" s="83"/>
      <c r="K20" s="85" t="s">
        <v>566</v>
      </c>
      <c r="L20" s="86">
        <v>2</v>
      </c>
      <c r="M20" s="83"/>
      <c r="N20" s="85" t="s">
        <v>159</v>
      </c>
      <c r="O20" s="86">
        <v>6</v>
      </c>
      <c r="P20" s="83"/>
      <c r="Q20" s="85" t="s">
        <v>88</v>
      </c>
      <c r="R20" s="86">
        <v>4</v>
      </c>
      <c r="S20" s="83"/>
      <c r="T20" s="85" t="s">
        <v>377</v>
      </c>
      <c r="U20" s="86">
        <v>12</v>
      </c>
      <c r="V20" s="83"/>
      <c r="W20" s="85" t="s">
        <v>424</v>
      </c>
      <c r="X20" s="86">
        <v>2</v>
      </c>
      <c r="Y20" s="83"/>
      <c r="Z20" s="85" t="s">
        <v>281</v>
      </c>
      <c r="AA20" s="86"/>
      <c r="AB20" s="90"/>
      <c r="AC20" s="94" t="s">
        <v>232</v>
      </c>
      <c r="AD20" s="86">
        <v>6</v>
      </c>
      <c r="AE20" s="93"/>
    </row>
    <row r="21" spans="1:31" x14ac:dyDescent="0.25">
      <c r="A21" s="23" t="s">
        <v>20</v>
      </c>
      <c r="B21" s="6" t="s">
        <v>573</v>
      </c>
      <c r="C21" s="11">
        <v>1</v>
      </c>
      <c r="D21" s="41"/>
      <c r="E21" s="6" t="s">
        <v>649</v>
      </c>
      <c r="G21" s="41"/>
      <c r="H21" s="43"/>
      <c r="J21" s="41"/>
      <c r="K21" s="6" t="s">
        <v>588</v>
      </c>
      <c r="L21" s="11">
        <v>1</v>
      </c>
      <c r="M21" s="41"/>
      <c r="N21" s="6" t="s">
        <v>382</v>
      </c>
      <c r="O21" s="11">
        <v>15</v>
      </c>
      <c r="P21" s="41"/>
      <c r="Q21" s="6" t="s">
        <v>519</v>
      </c>
      <c r="R21" s="11">
        <v>5</v>
      </c>
      <c r="S21" s="41"/>
      <c r="T21" s="6" t="s">
        <v>539</v>
      </c>
      <c r="U21" s="11">
        <v>12</v>
      </c>
      <c r="V21" s="41"/>
      <c r="W21" s="6" t="s">
        <v>649</v>
      </c>
      <c r="X21" s="11">
        <v>5</v>
      </c>
      <c r="Y21" s="41"/>
      <c r="Z21" s="6"/>
      <c r="AA21" s="11">
        <v>5</v>
      </c>
      <c r="AB21" s="41"/>
      <c r="AC21" s="22"/>
      <c r="AD21" s="11">
        <v>22</v>
      </c>
      <c r="AE21" s="66"/>
    </row>
    <row r="22" spans="1:31" x14ac:dyDescent="0.25">
      <c r="A22" s="23" t="s">
        <v>21</v>
      </c>
      <c r="B22" s="6" t="s">
        <v>518</v>
      </c>
      <c r="C22" s="11">
        <v>25</v>
      </c>
      <c r="D22" s="41"/>
      <c r="E22" s="6" t="s">
        <v>42</v>
      </c>
      <c r="F22" s="11">
        <v>0</v>
      </c>
      <c r="G22" s="41"/>
      <c r="H22" s="6"/>
      <c r="J22" s="41"/>
      <c r="K22" s="6" t="s">
        <v>362</v>
      </c>
      <c r="L22" s="11">
        <v>1</v>
      </c>
      <c r="M22" s="41"/>
      <c r="N22" s="6"/>
      <c r="P22" s="41"/>
      <c r="Q22" s="6" t="s">
        <v>587</v>
      </c>
      <c r="R22" s="11">
        <v>6</v>
      </c>
      <c r="S22" s="41"/>
      <c r="T22" s="6" t="s">
        <v>122</v>
      </c>
      <c r="U22" s="11">
        <v>1</v>
      </c>
      <c r="V22" s="41"/>
      <c r="W22" s="6" t="s">
        <v>431</v>
      </c>
      <c r="X22" s="11">
        <v>1</v>
      </c>
      <c r="Y22" s="41"/>
      <c r="Z22" s="6"/>
      <c r="AA22" s="11">
        <v>1</v>
      </c>
      <c r="AB22" s="41"/>
      <c r="AC22" s="22"/>
      <c r="AE22" s="66"/>
    </row>
    <row r="23" spans="1:31" x14ac:dyDescent="0.25">
      <c r="A23" s="23" t="s">
        <v>22</v>
      </c>
      <c r="B23" s="6" t="s">
        <v>277</v>
      </c>
      <c r="C23" s="11">
        <v>0</v>
      </c>
      <c r="D23" s="41"/>
      <c r="E23" s="6"/>
      <c r="G23" s="41"/>
      <c r="H23" s="6"/>
      <c r="J23" s="41"/>
      <c r="K23" s="6"/>
      <c r="M23" s="41"/>
      <c r="N23" s="6"/>
      <c r="P23" s="41"/>
      <c r="Q23" s="6" t="s">
        <v>421</v>
      </c>
      <c r="R23" s="11">
        <v>4</v>
      </c>
      <c r="S23" s="41"/>
      <c r="T23" s="6" t="s">
        <v>203</v>
      </c>
      <c r="U23" s="11">
        <v>1</v>
      </c>
      <c r="V23" s="41"/>
      <c r="W23" s="6" t="s">
        <v>326</v>
      </c>
      <c r="X23" s="11">
        <v>1</v>
      </c>
      <c r="Y23" s="41"/>
      <c r="Z23" s="6"/>
      <c r="AB23" s="41"/>
      <c r="AC23" s="22"/>
      <c r="AE23" s="66"/>
    </row>
    <row r="24" spans="1:31" x14ac:dyDescent="0.25">
      <c r="A24" s="23" t="s">
        <v>23</v>
      </c>
      <c r="B24" s="6"/>
      <c r="D24" s="41"/>
      <c r="E24" s="6"/>
      <c r="G24" s="41"/>
      <c r="H24" s="6"/>
      <c r="J24" s="41"/>
      <c r="K24" s="6"/>
      <c r="M24" s="41"/>
      <c r="N24" s="6"/>
      <c r="P24" s="41"/>
      <c r="Q24" s="6" t="s">
        <v>671</v>
      </c>
      <c r="R24" s="11">
        <v>1</v>
      </c>
      <c r="S24" s="41"/>
      <c r="T24" s="6"/>
      <c r="V24" s="41"/>
      <c r="W24" s="6"/>
      <c r="Y24" s="41"/>
      <c r="Z24" s="6"/>
      <c r="AB24" s="41"/>
      <c r="AC24" s="22"/>
      <c r="AE24" s="66"/>
    </row>
    <row r="25" spans="1:31" x14ac:dyDescent="0.25">
      <c r="A25" s="23" t="s">
        <v>24</v>
      </c>
      <c r="B25" s="6"/>
      <c r="D25" s="41"/>
      <c r="E25" s="6"/>
      <c r="G25" s="41"/>
      <c r="H25" s="6"/>
      <c r="J25" s="41"/>
      <c r="K25" s="6"/>
      <c r="M25" s="41"/>
      <c r="N25" s="6"/>
      <c r="P25" s="41"/>
      <c r="Q25" s="6"/>
      <c r="S25" s="41"/>
      <c r="T25" s="6"/>
      <c r="V25" s="41"/>
      <c r="W25" s="6"/>
      <c r="Y25" s="41"/>
      <c r="Z25" s="6"/>
      <c r="AB25" s="41"/>
      <c r="AC25" s="22"/>
      <c r="AE25" s="66"/>
    </row>
    <row r="26" spans="1:31" x14ac:dyDescent="0.25">
      <c r="A26" s="23" t="s">
        <v>25</v>
      </c>
      <c r="B26" s="6"/>
      <c r="D26" s="41"/>
      <c r="E26" s="6"/>
      <c r="G26" s="41"/>
      <c r="H26" s="6"/>
      <c r="J26" s="41"/>
      <c r="K26" s="6"/>
      <c r="M26" s="41"/>
      <c r="N26" s="6"/>
      <c r="P26" s="41"/>
      <c r="Q26" s="6"/>
      <c r="S26" s="41"/>
      <c r="T26" s="6"/>
      <c r="V26" s="41"/>
      <c r="W26" s="6"/>
      <c r="Y26" s="41"/>
      <c r="Z26" s="6"/>
      <c r="AB26" s="41"/>
      <c r="AC26" s="22"/>
      <c r="AE26" s="66"/>
    </row>
    <row r="27" spans="1:31" x14ac:dyDescent="0.25">
      <c r="A27" s="23" t="s">
        <v>26</v>
      </c>
      <c r="B27" s="6"/>
      <c r="D27" s="41"/>
      <c r="E27" s="6"/>
      <c r="G27" s="41"/>
      <c r="H27" s="6"/>
      <c r="J27" s="41"/>
      <c r="K27" s="6"/>
      <c r="M27" s="41"/>
      <c r="N27" s="6"/>
      <c r="P27" s="41"/>
      <c r="Q27" s="6"/>
      <c r="S27" s="41"/>
      <c r="T27" s="6"/>
      <c r="V27" s="41"/>
      <c r="W27" s="6"/>
      <c r="Y27" s="41"/>
      <c r="Z27" s="6"/>
      <c r="AB27" s="41"/>
      <c r="AC27" s="22"/>
      <c r="AE27" s="66"/>
    </row>
    <row r="28" spans="1:31" s="2" customFormat="1" x14ac:dyDescent="0.25">
      <c r="A28" s="30" t="s">
        <v>15</v>
      </c>
      <c r="B28" s="5"/>
      <c r="C28" s="12">
        <f ca="1">8-COUNTA(B12:B27)+CountStrike(B12:B27)</f>
        <v>1</v>
      </c>
      <c r="D28" s="15">
        <f>SUM(D12:D19)+SUM(D20:D27)-SUM(C20:C27)</f>
        <v>-16</v>
      </c>
      <c r="E28" s="5"/>
      <c r="F28" s="12">
        <f t="shared" ref="F28" ca="1" si="16">8-COUNTA(E12:E27)+CountStrike(E12:E27)</f>
        <v>0</v>
      </c>
      <c r="G28" s="15">
        <f t="shared" ref="G28" si="17">SUM(G12:G19)+SUM(G20:G27)-SUM(F20:F27)</f>
        <v>0</v>
      </c>
      <c r="H28" s="5"/>
      <c r="I28" s="12">
        <f t="shared" ref="I28" ca="1" si="18">8-COUNTA(H12:H27)+CountStrike(H12:H27)</f>
        <v>1</v>
      </c>
      <c r="J28" s="15">
        <f t="shared" ref="J28" si="19">SUM(J12:J19)+SUM(J20:J27)-SUM(I20:I27)</f>
        <v>16</v>
      </c>
      <c r="K28" s="5"/>
      <c r="L28" s="12">
        <f t="shared" ref="L28" ca="1" si="20">8-COUNTA(K12:K27)+CountStrike(K12:K27)</f>
        <v>0</v>
      </c>
      <c r="M28" s="15">
        <f t="shared" ref="M28" si="21">SUM(M12:M19)+SUM(M20:M27)-SUM(L20:L27)</f>
        <v>10</v>
      </c>
      <c r="N28" s="5"/>
      <c r="O28" s="12">
        <f t="shared" ref="O28" ca="1" si="22">8-COUNTA(N12:N27)+CountStrike(N12:N27)</f>
        <v>0</v>
      </c>
      <c r="P28" s="15">
        <f t="shared" ref="P28" si="23">SUM(P12:P19)+SUM(P20:P27)-SUM(O20:O27)</f>
        <v>-11</v>
      </c>
      <c r="Q28" s="5"/>
      <c r="R28" s="12">
        <f t="shared" ref="R28" ca="1" si="24">8-COUNTA(Q12:Q27)+CountStrike(Q12:Q27)</f>
        <v>0</v>
      </c>
      <c r="S28" s="15">
        <f t="shared" ref="S28" si="25">SUM(S12:S19)+SUM(S20:S27)-SUM(R20:R27)</f>
        <v>14</v>
      </c>
      <c r="T28" s="5"/>
      <c r="U28" s="12">
        <f t="shared" ref="U28" ca="1" si="26">8-COUNTA(T12:T27)+CountStrike(T12:T27)</f>
        <v>0</v>
      </c>
      <c r="V28" s="15">
        <f t="shared" ref="V28" si="27">SUM(V12:V19)+SUM(V20:V27)-SUM(U20:U27)</f>
        <v>-1</v>
      </c>
      <c r="W28" s="5"/>
      <c r="X28" s="12">
        <f t="shared" ref="X28" ca="1" si="28">8-COUNTA(W12:W27)+CountStrike(W12:W27)</f>
        <v>0</v>
      </c>
      <c r="Y28" s="15">
        <f t="shared" ref="Y28" si="29">SUM(Y12:Y19)+SUM(Y20:Y27)-SUM(X20:X27)</f>
        <v>7</v>
      </c>
      <c r="Z28" s="5"/>
      <c r="AA28" s="12">
        <f t="shared" ref="AA28" ca="1" si="30">8-COUNTA(Z12:Z27)+CountStrike(Z12:Z27)</f>
        <v>2</v>
      </c>
      <c r="AB28" s="15">
        <f t="shared" ref="AB28" si="31">SUM(AB12:AB19)+SUM(AB20:AB27)-SUM(AA20:AA27)</f>
        <v>2</v>
      </c>
      <c r="AC28" s="21"/>
      <c r="AD28" s="12">
        <f t="shared" ref="AD28" ca="1" si="32">8-COUNTA(AC12:AC27)+CountStrike(AC12:AC27)</f>
        <v>1</v>
      </c>
      <c r="AE28" s="67">
        <f t="shared" ref="AE28" si="33">SUM(AE12:AE19)+SUM(AE20:AE27)-SUM(AD20:AD27)</f>
        <v>-14</v>
      </c>
    </row>
    <row r="29" spans="1:31" s="2" customFormat="1" ht="20.399999999999999" thickBot="1" x14ac:dyDescent="0.45">
      <c r="A29" s="30"/>
      <c r="B29" s="4" t="s">
        <v>10</v>
      </c>
      <c r="C29" s="111" t="s">
        <v>697</v>
      </c>
      <c r="D29" s="38" t="s">
        <v>696</v>
      </c>
      <c r="E29" s="4" t="s">
        <v>10</v>
      </c>
      <c r="F29" s="111" t="s">
        <v>697</v>
      </c>
      <c r="G29" s="38" t="s">
        <v>696</v>
      </c>
      <c r="H29" s="4" t="s">
        <v>10</v>
      </c>
      <c r="I29" s="111" t="s">
        <v>697</v>
      </c>
      <c r="J29" s="38" t="s">
        <v>696</v>
      </c>
      <c r="K29" s="4" t="s">
        <v>10</v>
      </c>
      <c r="L29" s="111" t="s">
        <v>697</v>
      </c>
      <c r="M29" s="38" t="s">
        <v>696</v>
      </c>
      <c r="N29" s="4" t="s">
        <v>10</v>
      </c>
      <c r="O29" s="111" t="s">
        <v>697</v>
      </c>
      <c r="P29" s="38" t="s">
        <v>696</v>
      </c>
      <c r="Q29" s="4" t="s">
        <v>10</v>
      </c>
      <c r="R29" s="111" t="s">
        <v>697</v>
      </c>
      <c r="S29" s="38" t="s">
        <v>696</v>
      </c>
      <c r="T29" s="4" t="s">
        <v>10</v>
      </c>
      <c r="U29" s="111" t="s">
        <v>697</v>
      </c>
      <c r="V29" s="38" t="s">
        <v>696</v>
      </c>
      <c r="W29" s="4" t="s">
        <v>10</v>
      </c>
      <c r="X29" s="111" t="s">
        <v>697</v>
      </c>
      <c r="Y29" s="38" t="s">
        <v>696</v>
      </c>
      <c r="Z29" s="4" t="s">
        <v>10</v>
      </c>
      <c r="AA29" s="111" t="s">
        <v>697</v>
      </c>
      <c r="AB29" s="38" t="s">
        <v>696</v>
      </c>
      <c r="AC29" s="20" t="s">
        <v>10</v>
      </c>
      <c r="AD29" s="111" t="s">
        <v>697</v>
      </c>
      <c r="AE29" s="65" t="s">
        <v>696</v>
      </c>
    </row>
    <row r="30" spans="1:31" s="28" customFormat="1" ht="14.4" thickTop="1" x14ac:dyDescent="0.25">
      <c r="A30" s="24">
        <v>1</v>
      </c>
      <c r="B30" s="106" t="str">
        <f>I!B19</f>
        <v>CASTRO</v>
      </c>
      <c r="C30" s="26">
        <f>I!C19</f>
        <v>1</v>
      </c>
      <c r="D30" s="32">
        <v>10</v>
      </c>
      <c r="E30" s="106" t="str">
        <f>I!D19</f>
        <v>MILINKOVIC-SAVIC</v>
      </c>
      <c r="F30" s="26">
        <f>I!E19</f>
        <v>40</v>
      </c>
      <c r="G30" s="32"/>
      <c r="H30" s="106" t="str">
        <f>I!F19</f>
        <v>PASALIC</v>
      </c>
      <c r="I30" s="26">
        <f>I!G19</f>
        <v>8</v>
      </c>
      <c r="J30" s="32">
        <v>11</v>
      </c>
      <c r="K30" s="106">
        <f>I!H19</f>
        <v>0</v>
      </c>
      <c r="L30" s="26">
        <f>I!I19</f>
        <v>20</v>
      </c>
      <c r="M30" s="32">
        <v>10</v>
      </c>
      <c r="N30" s="45">
        <f>I!J19</f>
        <v>0</v>
      </c>
      <c r="O30" s="26">
        <f>I!K19</f>
        <v>29</v>
      </c>
      <c r="P30" s="32"/>
      <c r="Q30" s="45">
        <f>I!L19</f>
        <v>0</v>
      </c>
      <c r="R30" s="26">
        <f>I!M19</f>
        <v>7</v>
      </c>
      <c r="S30" s="32"/>
      <c r="T30" s="106">
        <f>I!N19</f>
        <v>0</v>
      </c>
      <c r="U30" s="26">
        <f>I!O19</f>
        <v>1</v>
      </c>
      <c r="V30" s="32">
        <v>7</v>
      </c>
      <c r="W30" s="45">
        <f>I!P19</f>
        <v>0</v>
      </c>
      <c r="X30" s="26">
        <f>I!Q19</f>
        <v>33</v>
      </c>
      <c r="Y30" s="32"/>
      <c r="Z30" s="117">
        <f>I!R19</f>
        <v>0</v>
      </c>
      <c r="AA30" s="26">
        <f>I!S19</f>
        <v>27</v>
      </c>
      <c r="AB30" s="32">
        <v>17</v>
      </c>
      <c r="AC30" s="46">
        <f>I!T19</f>
        <v>0</v>
      </c>
      <c r="AD30" s="26">
        <f>I!U19</f>
        <v>13</v>
      </c>
      <c r="AE30" s="68"/>
    </row>
    <row r="31" spans="1:31" s="28" customFormat="1" x14ac:dyDescent="0.25">
      <c r="A31" s="24">
        <v>2</v>
      </c>
      <c r="B31" s="106" t="str">
        <f>I!B20</f>
        <v>BROZOVIC</v>
      </c>
      <c r="C31" s="26">
        <f>I!C20</f>
        <v>11</v>
      </c>
      <c r="D31" s="32">
        <v>0</v>
      </c>
      <c r="E31" s="106" t="str">
        <f>I!D20</f>
        <v>CUADRADO</v>
      </c>
      <c r="F31" s="26">
        <f>I!E20</f>
        <v>32</v>
      </c>
      <c r="G31" s="32">
        <v>14</v>
      </c>
      <c r="H31" s="45" t="str">
        <f>I!F20</f>
        <v>NAINGGOLAN</v>
      </c>
      <c r="I31" s="26">
        <f>I!G20</f>
        <v>32</v>
      </c>
      <c r="J31" s="32"/>
      <c r="K31" s="106">
        <f>I!H20</f>
        <v>0</v>
      </c>
      <c r="L31" s="26">
        <f>I!I20</f>
        <v>19</v>
      </c>
      <c r="M31" s="32">
        <v>20</v>
      </c>
      <c r="N31" s="45">
        <f>I!J20</f>
        <v>0</v>
      </c>
      <c r="O31" s="26">
        <f>I!K20</f>
        <v>5</v>
      </c>
      <c r="P31" s="32"/>
      <c r="Q31" s="45">
        <f>I!L20</f>
        <v>0</v>
      </c>
      <c r="R31" s="26">
        <f>I!M20</f>
        <v>29</v>
      </c>
      <c r="S31" s="32"/>
      <c r="T31" s="45">
        <f>I!N20</f>
        <v>0</v>
      </c>
      <c r="U31" s="26">
        <f>I!O20</f>
        <v>8</v>
      </c>
      <c r="V31" s="32"/>
      <c r="W31" s="106">
        <f>I!P20</f>
        <v>0</v>
      </c>
      <c r="X31" s="26">
        <f>I!Q20</f>
        <v>2</v>
      </c>
      <c r="Y31" s="32">
        <v>7</v>
      </c>
      <c r="Z31" s="46">
        <f>I!R20</f>
        <v>0</v>
      </c>
      <c r="AA31" s="26">
        <f>I!S20</f>
        <v>12</v>
      </c>
      <c r="AB31" s="32"/>
      <c r="AC31" s="46">
        <f>I!T20</f>
        <v>0</v>
      </c>
      <c r="AD31" s="26">
        <f>I!U20</f>
        <v>9</v>
      </c>
      <c r="AE31" s="68"/>
    </row>
    <row r="32" spans="1:31" s="28" customFormat="1" x14ac:dyDescent="0.25">
      <c r="A32" s="24">
        <v>3</v>
      </c>
      <c r="B32" s="45" t="str">
        <f>I!B21</f>
        <v>DOUGLAS COSTA</v>
      </c>
      <c r="C32" s="26">
        <f>I!C21</f>
        <v>28</v>
      </c>
      <c r="D32" s="32"/>
      <c r="E32" s="45" t="str">
        <f>I!D21</f>
        <v>BERNARDESCHI</v>
      </c>
      <c r="F32" s="26">
        <f>I!E21</f>
        <v>27</v>
      </c>
      <c r="G32" s="32"/>
      <c r="H32" s="106" t="str">
        <f>I!F21</f>
        <v>VERDI</v>
      </c>
      <c r="I32" s="26">
        <f>I!G21</f>
        <v>19</v>
      </c>
      <c r="J32" s="32">
        <v>13</v>
      </c>
      <c r="K32" s="45">
        <f>I!H21</f>
        <v>0</v>
      </c>
      <c r="L32" s="26">
        <f>I!I21</f>
        <v>16</v>
      </c>
      <c r="M32" s="32"/>
      <c r="N32" s="45">
        <f>I!J21</f>
        <v>0</v>
      </c>
      <c r="O32" s="26">
        <f>I!K21</f>
        <v>4</v>
      </c>
      <c r="P32" s="32"/>
      <c r="Q32" s="45">
        <f>I!L21</f>
        <v>0</v>
      </c>
      <c r="R32" s="26">
        <f>I!M21</f>
        <v>6</v>
      </c>
      <c r="S32" s="32"/>
      <c r="T32" s="106">
        <f>I!N21</f>
        <v>0</v>
      </c>
      <c r="U32" s="26">
        <f>I!O21</f>
        <v>2</v>
      </c>
      <c r="V32" s="32">
        <v>4</v>
      </c>
      <c r="W32" s="106">
        <f>I!P21</f>
        <v>0</v>
      </c>
      <c r="X32" s="26">
        <f>I!Q21</f>
        <v>3</v>
      </c>
      <c r="Y32" s="32">
        <v>8</v>
      </c>
      <c r="Z32" s="117">
        <f>I!R21</f>
        <v>0</v>
      </c>
      <c r="AA32" s="26">
        <f>I!S21</f>
        <v>1</v>
      </c>
      <c r="AB32" s="32">
        <v>6</v>
      </c>
      <c r="AC32" s="46">
        <f>I!T21</f>
        <v>0</v>
      </c>
      <c r="AD32" s="26">
        <f>I!U21</f>
        <v>2</v>
      </c>
      <c r="AE32" s="68"/>
    </row>
    <row r="33" spans="1:31" s="28" customFormat="1" x14ac:dyDescent="0.25">
      <c r="A33" s="24">
        <v>4</v>
      </c>
      <c r="B33" s="45" t="str">
        <f>I!B22</f>
        <v>KHEDIRA</v>
      </c>
      <c r="C33" s="26">
        <f>I!C22</f>
        <v>12</v>
      </c>
      <c r="D33" s="32"/>
      <c r="E33" s="45" t="str">
        <f>I!D22</f>
        <v>PRAET</v>
      </c>
      <c r="F33" s="26">
        <f>I!E22</f>
        <v>1</v>
      </c>
      <c r="G33" s="32"/>
      <c r="H33" s="45" t="str">
        <f>I!F22</f>
        <v>SAPONARA</v>
      </c>
      <c r="I33" s="26">
        <f>I!G22</f>
        <v>3</v>
      </c>
      <c r="J33" s="32"/>
      <c r="K33" s="45">
        <f>I!H22</f>
        <v>0</v>
      </c>
      <c r="L33" s="26">
        <f>I!I22</f>
        <v>2</v>
      </c>
      <c r="M33" s="32"/>
      <c r="N33" s="45">
        <f>I!J22</f>
        <v>0</v>
      </c>
      <c r="O33" s="26">
        <f>I!K22</f>
        <v>3</v>
      </c>
      <c r="P33" s="32"/>
      <c r="Q33" s="45">
        <f>I!L22</f>
        <v>0</v>
      </c>
      <c r="R33" s="26">
        <f>I!M22</f>
        <v>9</v>
      </c>
      <c r="S33" s="32"/>
      <c r="T33" s="106">
        <f>I!N22</f>
        <v>0</v>
      </c>
      <c r="U33" s="26">
        <f>I!O22</f>
        <v>22</v>
      </c>
      <c r="V33" s="32">
        <v>19</v>
      </c>
      <c r="W33" s="45">
        <f>I!P22</f>
        <v>0</v>
      </c>
      <c r="X33" s="26">
        <f>I!Q22</f>
        <v>1</v>
      </c>
      <c r="Y33" s="32"/>
      <c r="Z33" s="46">
        <f>I!R22</f>
        <v>0</v>
      </c>
      <c r="AA33" s="26">
        <f>I!S22</f>
        <v>2</v>
      </c>
      <c r="AB33" s="32"/>
      <c r="AC33" s="46">
        <f>I!T22</f>
        <v>0</v>
      </c>
      <c r="AD33" s="26">
        <f>I!U22</f>
        <v>7</v>
      </c>
      <c r="AE33" s="68"/>
    </row>
    <row r="34" spans="1:31" s="28" customFormat="1" x14ac:dyDescent="0.25">
      <c r="A34" s="24">
        <v>5</v>
      </c>
      <c r="B34" s="45" t="str">
        <f>I!B23</f>
        <v>ILICIC</v>
      </c>
      <c r="C34" s="26">
        <f>I!C23</f>
        <v>18</v>
      </c>
      <c r="D34" s="32"/>
      <c r="E34" s="45" t="str">
        <f>I!D23</f>
        <v>GIACCHERINI</v>
      </c>
      <c r="F34" s="26">
        <f>I!E23</f>
        <v>7</v>
      </c>
      <c r="G34" s="32"/>
      <c r="H34" s="45" t="str">
        <f>I!F23</f>
        <v>BASELLI</v>
      </c>
      <c r="I34" s="26">
        <f>I!G23</f>
        <v>4</v>
      </c>
      <c r="J34" s="32"/>
      <c r="K34" s="106">
        <f>I!H23</f>
        <v>0</v>
      </c>
      <c r="L34" s="26">
        <f>I!I23</f>
        <v>1</v>
      </c>
      <c r="M34" s="32">
        <v>6</v>
      </c>
      <c r="N34" s="45">
        <f>I!J23</f>
        <v>0</v>
      </c>
      <c r="O34" s="26">
        <f>I!K23</f>
        <v>3</v>
      </c>
      <c r="P34" s="32"/>
      <c r="Q34" s="106">
        <f>I!L23</f>
        <v>0</v>
      </c>
      <c r="R34" s="26">
        <f>I!M23</f>
        <v>2</v>
      </c>
      <c r="S34" s="32">
        <v>11</v>
      </c>
      <c r="T34" s="45">
        <f>I!N23</f>
        <v>0</v>
      </c>
      <c r="U34" s="26">
        <f>I!O23</f>
        <v>8</v>
      </c>
      <c r="V34" s="32"/>
      <c r="W34" s="106">
        <f>I!P23</f>
        <v>0</v>
      </c>
      <c r="X34" s="26">
        <f>I!Q23</f>
        <v>1</v>
      </c>
      <c r="Y34" s="32">
        <v>8</v>
      </c>
      <c r="Z34" s="46">
        <f>I!R23</f>
        <v>0</v>
      </c>
      <c r="AA34" s="26">
        <f>I!S23</f>
        <v>11</v>
      </c>
      <c r="AB34" s="32"/>
      <c r="AC34" s="117">
        <f>I!T23</f>
        <v>0</v>
      </c>
      <c r="AD34" s="26">
        <f>I!U23</f>
        <v>1</v>
      </c>
      <c r="AE34" s="68">
        <v>6</v>
      </c>
    </row>
    <row r="35" spans="1:31" s="28" customFormat="1" x14ac:dyDescent="0.25">
      <c r="A35" s="24">
        <v>6</v>
      </c>
      <c r="B35" s="45" t="str">
        <f>I!B24</f>
        <v>LAZZARI M</v>
      </c>
      <c r="C35" s="26">
        <f>I!C24</f>
        <v>1</v>
      </c>
      <c r="D35" s="32"/>
      <c r="E35" s="45" t="str">
        <f>I!D24</f>
        <v>BESSA</v>
      </c>
      <c r="F35" s="26">
        <f>I!E24</f>
        <v>1</v>
      </c>
      <c r="G35" s="32"/>
      <c r="H35" s="106" t="str">
        <f>I!F24</f>
        <v>CALHANOGLU</v>
      </c>
      <c r="I35" s="26">
        <f>I!G24</f>
        <v>12</v>
      </c>
      <c r="J35" s="32"/>
      <c r="K35" s="45">
        <f>I!H24</f>
        <v>0</v>
      </c>
      <c r="L35" s="26">
        <f>I!I24</f>
        <v>6</v>
      </c>
      <c r="M35" s="32"/>
      <c r="N35" s="106">
        <f>I!J24</f>
        <v>0</v>
      </c>
      <c r="O35" s="26">
        <f>I!K24</f>
        <v>1</v>
      </c>
      <c r="P35" s="32">
        <v>6</v>
      </c>
      <c r="Q35" s="106">
        <f>I!L24</f>
        <v>0</v>
      </c>
      <c r="R35" s="26">
        <f>I!M24</f>
        <v>3</v>
      </c>
      <c r="S35" s="32">
        <v>7</v>
      </c>
      <c r="T35" s="106">
        <f>I!N24</f>
        <v>0</v>
      </c>
      <c r="U35" s="26">
        <f>I!O24</f>
        <v>22</v>
      </c>
      <c r="V35" s="32">
        <v>16</v>
      </c>
      <c r="W35" s="45">
        <f>I!P24</f>
        <v>0</v>
      </c>
      <c r="X35" s="26">
        <f>I!Q24</f>
        <v>1</v>
      </c>
      <c r="Y35" s="32"/>
      <c r="Z35" s="117">
        <f>I!R24</f>
        <v>0</v>
      </c>
      <c r="AA35" s="26">
        <f>I!S24</f>
        <v>1</v>
      </c>
      <c r="AB35" s="32">
        <v>5</v>
      </c>
      <c r="AC35" s="46">
        <f>I!T24</f>
        <v>0</v>
      </c>
      <c r="AD35" s="26">
        <f>I!U24</f>
        <v>1</v>
      </c>
      <c r="AE35" s="68"/>
    </row>
    <row r="36" spans="1:31" s="28" customFormat="1" x14ac:dyDescent="0.25">
      <c r="A36" s="24">
        <v>7</v>
      </c>
      <c r="B36" s="45" t="str">
        <f>I!B25</f>
        <v>FREULER</v>
      </c>
      <c r="C36" s="26">
        <f>I!C25</f>
        <v>6</v>
      </c>
      <c r="D36" s="32"/>
      <c r="E36" s="45" t="str">
        <f>I!D25</f>
        <v>LULIC</v>
      </c>
      <c r="F36" s="26">
        <f>I!E25</f>
        <v>1</v>
      </c>
      <c r="G36" s="32"/>
      <c r="H36" s="106" t="str">
        <f>I!F25</f>
        <v>DZEMAILI</v>
      </c>
      <c r="I36" s="26">
        <f>I!G25</f>
        <v>3</v>
      </c>
      <c r="J36" s="32">
        <v>6</v>
      </c>
      <c r="K36" s="106">
        <f>I!H25</f>
        <v>0</v>
      </c>
      <c r="L36" s="26">
        <f>I!I25</f>
        <v>3</v>
      </c>
      <c r="M36" s="32">
        <v>7</v>
      </c>
      <c r="N36" s="45">
        <f>I!J25</f>
        <v>0</v>
      </c>
      <c r="O36" s="26">
        <f>I!K25</f>
        <v>1</v>
      </c>
      <c r="P36" s="32"/>
      <c r="Q36" s="106">
        <f>I!L25</f>
        <v>0</v>
      </c>
      <c r="R36" s="26">
        <f>I!M25</f>
        <v>4</v>
      </c>
      <c r="S36" s="32">
        <v>8</v>
      </c>
      <c r="T36" s="106">
        <f>I!N25</f>
        <v>0</v>
      </c>
      <c r="U36" s="26">
        <f>I!O25</f>
        <v>1</v>
      </c>
      <c r="V36" s="32"/>
      <c r="W36" s="45">
        <f>I!P25</f>
        <v>0</v>
      </c>
      <c r="X36" s="26">
        <f>I!Q25</f>
        <v>1</v>
      </c>
      <c r="Y36" s="32"/>
      <c r="Z36" s="117">
        <f>I!R25</f>
        <v>0</v>
      </c>
      <c r="AA36" s="26">
        <f>I!S25</f>
        <v>2</v>
      </c>
      <c r="AB36" s="32">
        <v>5</v>
      </c>
      <c r="AC36" s="46">
        <f>I!T25</f>
        <v>0</v>
      </c>
      <c r="AD36" s="26">
        <f>I!U25</f>
        <v>1</v>
      </c>
      <c r="AE36" s="68"/>
    </row>
    <row r="37" spans="1:31" s="28" customFormat="1" x14ac:dyDescent="0.25">
      <c r="A37" s="24">
        <v>8</v>
      </c>
      <c r="B37" s="106" t="str">
        <f>I!B26</f>
        <v>GRASSI</v>
      </c>
      <c r="C37" s="26">
        <f>I!C26</f>
        <v>2</v>
      </c>
      <c r="D37" s="32">
        <v>5</v>
      </c>
      <c r="E37" s="45" t="str">
        <f>I!D26</f>
        <v>GERSON</v>
      </c>
      <c r="F37" s="26">
        <f>I!E26</f>
        <v>1</v>
      </c>
      <c r="G37" s="32"/>
      <c r="H37" s="119" t="str">
        <f>I!F26</f>
        <v>PEROTTI</v>
      </c>
      <c r="I37" s="26">
        <f>I!G26</f>
        <v>7</v>
      </c>
      <c r="J37" s="32">
        <v>9</v>
      </c>
      <c r="K37" s="106">
        <f>I!H26</f>
        <v>0</v>
      </c>
      <c r="L37" s="26">
        <f>I!I26</f>
        <v>1</v>
      </c>
      <c r="M37" s="32">
        <v>7</v>
      </c>
      <c r="N37" s="45">
        <f>I!J26</f>
        <v>0</v>
      </c>
      <c r="O37" s="26">
        <f>I!K26</f>
        <v>2</v>
      </c>
      <c r="P37" s="32"/>
      <c r="Q37" s="106">
        <f>I!L26</f>
        <v>0</v>
      </c>
      <c r="R37" s="26">
        <f>I!M26</f>
        <v>1</v>
      </c>
      <c r="S37" s="32">
        <v>6</v>
      </c>
      <c r="T37" s="45">
        <f>I!N26</f>
        <v>0</v>
      </c>
      <c r="U37" s="26">
        <f>I!O26</f>
        <v>1</v>
      </c>
      <c r="V37" s="32"/>
      <c r="W37" s="45">
        <f>I!P26</f>
        <v>0</v>
      </c>
      <c r="X37" s="26">
        <f>I!Q26</f>
        <v>1</v>
      </c>
      <c r="Y37" s="32"/>
      <c r="Z37" s="46">
        <f>I!R26</f>
        <v>0</v>
      </c>
      <c r="AA37" s="26">
        <f>I!S26</f>
        <v>1</v>
      </c>
      <c r="AB37" s="32"/>
      <c r="AC37" s="46">
        <f>I!T26</f>
        <v>0</v>
      </c>
      <c r="AD37" s="26">
        <f>I!U26</f>
        <v>1</v>
      </c>
      <c r="AE37" s="68"/>
    </row>
    <row r="38" spans="1:31" s="28" customFormat="1" x14ac:dyDescent="0.25">
      <c r="A38" s="24" t="s">
        <v>19</v>
      </c>
      <c r="B38" s="87" t="s">
        <v>114</v>
      </c>
      <c r="C38" s="82">
        <v>2</v>
      </c>
      <c r="D38" s="83"/>
      <c r="E38" s="87" t="s">
        <v>516</v>
      </c>
      <c r="F38" s="82">
        <v>9</v>
      </c>
      <c r="G38" s="83"/>
      <c r="H38" s="45" t="s">
        <v>251</v>
      </c>
      <c r="I38" s="82"/>
      <c r="J38" s="83"/>
      <c r="K38" s="87" t="s">
        <v>379</v>
      </c>
      <c r="L38" s="82"/>
      <c r="M38" s="83"/>
      <c r="N38" s="87" t="s">
        <v>197</v>
      </c>
      <c r="O38" s="82">
        <v>24</v>
      </c>
      <c r="P38" s="83"/>
      <c r="Q38" s="87" t="s">
        <v>213</v>
      </c>
      <c r="R38" s="82">
        <v>34</v>
      </c>
      <c r="S38" s="83"/>
      <c r="T38" s="87" t="s">
        <v>327</v>
      </c>
      <c r="U38" s="82"/>
      <c r="V38" s="83"/>
      <c r="W38" s="87" t="s">
        <v>628</v>
      </c>
      <c r="X38" s="82">
        <v>28</v>
      </c>
      <c r="Y38" s="90"/>
      <c r="Z38" s="95"/>
      <c r="AA38" s="82">
        <v>12</v>
      </c>
      <c r="AB38" s="90"/>
      <c r="AC38" s="95"/>
      <c r="AD38" s="82">
        <v>1</v>
      </c>
      <c r="AE38" s="93"/>
    </row>
    <row r="39" spans="1:31" s="28" customFormat="1" x14ac:dyDescent="0.25">
      <c r="A39" s="24" t="s">
        <v>20</v>
      </c>
      <c r="B39" s="45" t="s">
        <v>659</v>
      </c>
      <c r="C39" s="26">
        <v>2</v>
      </c>
      <c r="D39" s="41"/>
      <c r="E39" s="45"/>
      <c r="F39" s="26"/>
      <c r="G39" s="41"/>
      <c r="H39" s="45" t="s">
        <v>408</v>
      </c>
      <c r="I39" s="26">
        <v>5</v>
      </c>
      <c r="J39" s="41"/>
      <c r="K39" s="45" t="s">
        <v>374</v>
      </c>
      <c r="L39" s="26">
        <v>1</v>
      </c>
      <c r="M39" s="41"/>
      <c r="N39" s="45"/>
      <c r="O39" s="26"/>
      <c r="P39" s="41"/>
      <c r="Q39" s="45" t="s">
        <v>634</v>
      </c>
      <c r="R39" s="26">
        <v>1</v>
      </c>
      <c r="S39" s="41"/>
      <c r="T39" s="45" t="s">
        <v>112</v>
      </c>
      <c r="U39" s="26">
        <v>19</v>
      </c>
      <c r="V39" s="41"/>
      <c r="W39" s="45" t="s">
        <v>471</v>
      </c>
      <c r="X39" s="26">
        <v>1</v>
      </c>
      <c r="Y39" s="41"/>
      <c r="Z39" s="46"/>
      <c r="AA39" s="26">
        <v>24</v>
      </c>
      <c r="AB39" s="41"/>
      <c r="AC39" s="46"/>
      <c r="AD39" s="26"/>
      <c r="AE39" s="66"/>
    </row>
    <row r="40" spans="1:31" s="28" customFormat="1" x14ac:dyDescent="0.25">
      <c r="A40" s="24" t="s">
        <v>21</v>
      </c>
      <c r="B40" s="45" t="s">
        <v>244</v>
      </c>
      <c r="C40" s="26">
        <v>0</v>
      </c>
      <c r="D40" s="41"/>
      <c r="E40" s="45"/>
      <c r="F40" s="26"/>
      <c r="G40" s="41"/>
      <c r="H40" s="45" t="s">
        <v>452</v>
      </c>
      <c r="I40" s="26">
        <v>2</v>
      </c>
      <c r="J40" s="41"/>
      <c r="K40" s="45" t="s">
        <v>353</v>
      </c>
      <c r="L40" s="26">
        <v>1</v>
      </c>
      <c r="M40" s="41"/>
      <c r="N40" s="45"/>
      <c r="O40" s="26"/>
      <c r="P40" s="41"/>
      <c r="Q40" s="45" t="s">
        <v>179</v>
      </c>
      <c r="R40" s="26">
        <v>6</v>
      </c>
      <c r="S40" s="41"/>
      <c r="T40" s="45" t="s">
        <v>667</v>
      </c>
      <c r="U40" s="26">
        <v>43</v>
      </c>
      <c r="V40" s="41"/>
      <c r="W40" s="45" t="s">
        <v>478</v>
      </c>
      <c r="X40" s="26">
        <v>1</v>
      </c>
      <c r="Y40" s="41"/>
      <c r="Z40" s="46"/>
      <c r="AA40" s="26">
        <v>1</v>
      </c>
      <c r="AB40" s="41"/>
      <c r="AC40" s="46"/>
      <c r="AD40" s="26"/>
      <c r="AE40" s="66"/>
    </row>
    <row r="41" spans="1:31" s="28" customFormat="1" x14ac:dyDescent="0.25">
      <c r="A41" s="24" t="s">
        <v>22</v>
      </c>
      <c r="B41" s="45"/>
      <c r="C41" s="26"/>
      <c r="D41" s="41"/>
      <c r="E41" s="45"/>
      <c r="F41" s="26"/>
      <c r="G41" s="41"/>
      <c r="H41" s="45" t="s">
        <v>168</v>
      </c>
      <c r="I41" s="26">
        <v>1</v>
      </c>
      <c r="J41" s="41"/>
      <c r="K41" s="45" t="s">
        <v>282</v>
      </c>
      <c r="L41" s="26">
        <v>1</v>
      </c>
      <c r="M41" s="41"/>
      <c r="N41" s="45"/>
      <c r="O41" s="26"/>
      <c r="P41" s="41"/>
      <c r="Q41" s="45" t="s">
        <v>47</v>
      </c>
      <c r="R41" s="26">
        <v>13</v>
      </c>
      <c r="S41" s="41"/>
      <c r="T41" s="45" t="s">
        <v>258</v>
      </c>
      <c r="U41" s="26">
        <v>1</v>
      </c>
      <c r="V41" s="41"/>
      <c r="W41" s="45"/>
      <c r="X41" s="26"/>
      <c r="Y41" s="41"/>
      <c r="Z41" s="46"/>
      <c r="AA41" s="26">
        <v>1</v>
      </c>
      <c r="AB41" s="41"/>
      <c r="AC41" s="46"/>
      <c r="AD41" s="26"/>
      <c r="AE41" s="66"/>
    </row>
    <row r="42" spans="1:31" s="28" customFormat="1" x14ac:dyDescent="0.25">
      <c r="A42" s="24" t="s">
        <v>23</v>
      </c>
      <c r="B42" s="45"/>
      <c r="C42" s="26"/>
      <c r="D42" s="41"/>
      <c r="E42" s="45"/>
      <c r="F42" s="26"/>
      <c r="G42" s="41"/>
      <c r="H42" s="106" t="s">
        <v>244</v>
      </c>
      <c r="I42" s="26">
        <v>23</v>
      </c>
      <c r="J42" s="41">
        <v>0</v>
      </c>
      <c r="K42" s="45" t="s">
        <v>215</v>
      </c>
      <c r="L42" s="26">
        <v>1</v>
      </c>
      <c r="M42" s="41"/>
      <c r="N42" s="45"/>
      <c r="O42" s="26"/>
      <c r="P42" s="41"/>
      <c r="Q42" s="45"/>
      <c r="R42" s="26"/>
      <c r="S42" s="41"/>
      <c r="T42" s="45" t="s">
        <v>250</v>
      </c>
      <c r="U42" s="26">
        <v>1</v>
      </c>
      <c r="V42" s="41"/>
      <c r="W42" s="45"/>
      <c r="X42" s="26"/>
      <c r="Y42" s="41"/>
      <c r="Z42" s="46"/>
      <c r="AA42" s="26"/>
      <c r="AB42" s="41"/>
      <c r="AC42" s="46"/>
      <c r="AD42" s="26"/>
      <c r="AE42" s="66"/>
    </row>
    <row r="43" spans="1:31" s="28" customFormat="1" x14ac:dyDescent="0.25">
      <c r="A43" s="24" t="s">
        <v>24</v>
      </c>
      <c r="B43" s="45"/>
      <c r="C43" s="26"/>
      <c r="D43" s="41"/>
      <c r="E43" s="45"/>
      <c r="F43" s="26"/>
      <c r="G43" s="41"/>
      <c r="H43" s="45" t="s">
        <v>127</v>
      </c>
      <c r="I43" s="26">
        <v>0</v>
      </c>
      <c r="J43" s="41"/>
      <c r="K43" s="45"/>
      <c r="L43" s="26"/>
      <c r="M43" s="41"/>
      <c r="N43" s="45"/>
      <c r="O43" s="26"/>
      <c r="P43" s="41"/>
      <c r="Q43" s="45"/>
      <c r="R43" s="26"/>
      <c r="S43" s="41"/>
      <c r="T43" s="45"/>
      <c r="U43" s="26"/>
      <c r="V43" s="41"/>
      <c r="W43" s="45"/>
      <c r="X43" s="26"/>
      <c r="Y43" s="41"/>
      <c r="Z43" s="46"/>
      <c r="AA43" s="26"/>
      <c r="AB43" s="41"/>
      <c r="AC43" s="46"/>
      <c r="AD43" s="26"/>
      <c r="AE43" s="66"/>
    </row>
    <row r="44" spans="1:31" s="28" customFormat="1" x14ac:dyDescent="0.25">
      <c r="A44" s="24" t="s">
        <v>25</v>
      </c>
      <c r="B44" s="45"/>
      <c r="C44" s="26"/>
      <c r="D44" s="41"/>
      <c r="E44" s="45"/>
      <c r="F44" s="26"/>
      <c r="G44" s="41"/>
      <c r="H44" s="45"/>
      <c r="I44" s="26"/>
      <c r="J44" s="41"/>
      <c r="K44" s="45"/>
      <c r="L44" s="26"/>
      <c r="M44" s="41"/>
      <c r="N44" s="45"/>
      <c r="O44" s="26"/>
      <c r="P44" s="41"/>
      <c r="Q44" s="45"/>
      <c r="R44" s="26"/>
      <c r="S44" s="41"/>
      <c r="T44" s="45"/>
      <c r="U44" s="26"/>
      <c r="V44" s="41"/>
      <c r="W44" s="45"/>
      <c r="X44" s="26"/>
      <c r="Y44" s="41"/>
      <c r="Z44" s="46"/>
      <c r="AA44" s="26"/>
      <c r="AB44" s="41"/>
      <c r="AC44" s="46"/>
      <c r="AD44" s="26"/>
      <c r="AE44" s="66"/>
    </row>
    <row r="45" spans="1:31" s="28" customFormat="1" x14ac:dyDescent="0.25">
      <c r="A45" s="24" t="s">
        <v>26</v>
      </c>
      <c r="B45" s="45"/>
      <c r="C45" s="26"/>
      <c r="D45" s="41"/>
      <c r="E45" s="45"/>
      <c r="F45" s="26"/>
      <c r="G45" s="41"/>
      <c r="H45" s="45"/>
      <c r="I45" s="26"/>
      <c r="J45" s="41"/>
      <c r="K45" s="45"/>
      <c r="L45" s="26"/>
      <c r="M45" s="41"/>
      <c r="N45" s="45"/>
      <c r="O45" s="26"/>
      <c r="P45" s="41"/>
      <c r="Q45" s="45"/>
      <c r="R45" s="26"/>
      <c r="S45" s="41"/>
      <c r="T45" s="45"/>
      <c r="U45" s="26"/>
      <c r="V45" s="41"/>
      <c r="W45" s="45"/>
      <c r="X45" s="26"/>
      <c r="Y45" s="41"/>
      <c r="Z45" s="46"/>
      <c r="AA45" s="26"/>
      <c r="AB45" s="41"/>
      <c r="AC45" s="46"/>
      <c r="AD45" s="26"/>
      <c r="AE45" s="66"/>
    </row>
    <row r="46" spans="1:31" s="2" customFormat="1" x14ac:dyDescent="0.25">
      <c r="A46" s="30" t="s">
        <v>16</v>
      </c>
      <c r="B46" s="5"/>
      <c r="C46" s="12">
        <f ca="1">8-COUNTA(B30:B45)+CountStrike(B30:B45)</f>
        <v>0</v>
      </c>
      <c r="D46" s="15">
        <f>SUM(D30:D37)+SUM(D38:D45)-SUM(C38:C45)</f>
        <v>11</v>
      </c>
      <c r="E46" s="5"/>
      <c r="F46" s="12">
        <f t="shared" ref="F46" ca="1" si="34">8-COUNTA(E30:E45)+CountStrike(E30:E45)</f>
        <v>1</v>
      </c>
      <c r="G46" s="15">
        <f t="shared" ref="G46" si="35">SUM(G30:G37)+SUM(G38:G45)-SUM(F38:F45)</f>
        <v>5</v>
      </c>
      <c r="H46" s="5"/>
      <c r="I46" s="12">
        <f t="shared" ref="I46" ca="1" si="36">8-COUNTA(H30:H45)+CountStrike(H30:H45)</f>
        <v>0</v>
      </c>
      <c r="J46" s="15">
        <f t="shared" ref="J46" si="37">SUM(J30:J37)+SUM(J38:J45)-SUM(I38:I45)</f>
        <v>8</v>
      </c>
      <c r="K46" s="5"/>
      <c r="L46" s="12">
        <f t="shared" ref="L46" ca="1" si="38">8-COUNTA(K30:K45)+CountStrike(K30:K45)</f>
        <v>0</v>
      </c>
      <c r="M46" s="15">
        <f t="shared" ref="M46" si="39">SUM(M30:M37)+SUM(M38:M45)-SUM(L38:L45)</f>
        <v>46</v>
      </c>
      <c r="N46" s="5"/>
      <c r="O46" s="12">
        <f t="shared" ref="O46" ca="1" si="40">8-COUNTA(N30:N45)+CountStrike(N30:N45)</f>
        <v>0</v>
      </c>
      <c r="P46" s="15">
        <f t="shared" ref="P46" si="41">SUM(P30:P37)+SUM(P38:P45)-SUM(O38:O45)</f>
        <v>-18</v>
      </c>
      <c r="Q46" s="5"/>
      <c r="R46" s="12">
        <f t="shared" ref="R46" ca="1" si="42">8-COUNTA(Q30:Q45)+CountStrike(Q30:Q45)</f>
        <v>0</v>
      </c>
      <c r="S46" s="15">
        <f t="shared" ref="S46" si="43">SUM(S30:S37)+SUM(S38:S45)-SUM(R38:R45)</f>
        <v>-22</v>
      </c>
      <c r="T46" s="5"/>
      <c r="U46" s="12">
        <f t="shared" ref="U46" ca="1" si="44">8-COUNTA(T30:T45)+CountStrike(T30:T45)</f>
        <v>0</v>
      </c>
      <c r="V46" s="15">
        <f t="shared" ref="V46" si="45">SUM(V30:V37)+SUM(V38:V45)-SUM(U38:U45)</f>
        <v>-18</v>
      </c>
      <c r="W46" s="5"/>
      <c r="X46" s="12">
        <f t="shared" ref="X46" ca="1" si="46">8-COUNTA(W30:W45)+CountStrike(W30:W45)</f>
        <v>0</v>
      </c>
      <c r="Y46" s="15">
        <f t="shared" ref="Y46" si="47">SUM(Y30:Y37)+SUM(Y38:Y45)-SUM(X38:X45)</f>
        <v>-7</v>
      </c>
      <c r="Z46" s="5"/>
      <c r="AA46" s="12">
        <f t="shared" ref="AA46" ca="1" si="48">8-COUNTA(Z30:Z45)+CountStrike(Z30:Z45)</f>
        <v>4</v>
      </c>
      <c r="AB46" s="15">
        <f t="shared" ref="AB46" si="49">SUM(AB30:AB37)+SUM(AB38:AB45)-SUM(AA38:AA45)</f>
        <v>-5</v>
      </c>
      <c r="AC46" s="21"/>
      <c r="AD46" s="12">
        <f t="shared" ref="AD46" ca="1" si="50">8-COUNTA(AC30:AC45)+CountStrike(AC30:AC45)</f>
        <v>1</v>
      </c>
      <c r="AE46" s="67">
        <f t="shared" ref="AE46" si="51">SUM(AE30:AE37)+SUM(AE38:AE45)-SUM(AD38:AD45)</f>
        <v>5</v>
      </c>
    </row>
    <row r="47" spans="1:31" s="2" customFormat="1" ht="20.399999999999999" thickBot="1" x14ac:dyDescent="0.45">
      <c r="A47" s="30"/>
      <c r="B47" s="4" t="s">
        <v>11</v>
      </c>
      <c r="C47" s="111" t="s">
        <v>697</v>
      </c>
      <c r="D47" s="38" t="s">
        <v>696</v>
      </c>
      <c r="E47" s="4" t="s">
        <v>11</v>
      </c>
      <c r="F47" s="111" t="s">
        <v>697</v>
      </c>
      <c r="G47" s="38" t="s">
        <v>696</v>
      </c>
      <c r="H47" s="4" t="s">
        <v>11</v>
      </c>
      <c r="I47" s="111" t="s">
        <v>697</v>
      </c>
      <c r="J47" s="38" t="s">
        <v>696</v>
      </c>
      <c r="K47" s="4" t="s">
        <v>11</v>
      </c>
      <c r="L47" s="111" t="s">
        <v>697</v>
      </c>
      <c r="M47" s="38" t="s">
        <v>696</v>
      </c>
      <c r="N47" s="4" t="s">
        <v>11</v>
      </c>
      <c r="O47" s="111" t="s">
        <v>697</v>
      </c>
      <c r="P47" s="38" t="s">
        <v>696</v>
      </c>
      <c r="Q47" s="4" t="s">
        <v>11</v>
      </c>
      <c r="R47" s="111" t="s">
        <v>697</v>
      </c>
      <c r="S47" s="38" t="s">
        <v>696</v>
      </c>
      <c r="T47" s="4" t="s">
        <v>11</v>
      </c>
      <c r="U47" s="111" t="s">
        <v>697</v>
      </c>
      <c r="V47" s="38" t="s">
        <v>696</v>
      </c>
      <c r="W47" s="4" t="s">
        <v>11</v>
      </c>
      <c r="X47" s="111" t="s">
        <v>697</v>
      </c>
      <c r="Y47" s="38" t="s">
        <v>696</v>
      </c>
      <c r="Z47" s="4" t="s">
        <v>11</v>
      </c>
      <c r="AA47" s="111" t="s">
        <v>697</v>
      </c>
      <c r="AB47" s="38" t="s">
        <v>696</v>
      </c>
      <c r="AC47" s="20" t="s">
        <v>11</v>
      </c>
      <c r="AD47" s="111" t="s">
        <v>697</v>
      </c>
      <c r="AE47" s="65" t="s">
        <v>696</v>
      </c>
    </row>
    <row r="48" spans="1:31" s="28" customFormat="1" ht="14.4" thickTop="1" x14ac:dyDescent="0.25">
      <c r="A48" s="24">
        <v>1</v>
      </c>
      <c r="B48" s="47" t="str">
        <f>I!B29</f>
        <v>ICARDI</v>
      </c>
      <c r="C48" s="26">
        <f>I!C29</f>
        <v>140</v>
      </c>
      <c r="D48" s="41"/>
      <c r="E48" s="47" t="str">
        <f>I!D29</f>
        <v>INGLESE</v>
      </c>
      <c r="F48" s="26">
        <f>I!E29</f>
        <v>20</v>
      </c>
      <c r="G48" s="41"/>
      <c r="H48" s="102" t="str">
        <f>I!F29</f>
        <v>BERARDI</v>
      </c>
      <c r="I48" s="26">
        <f>I!G29</f>
        <v>15</v>
      </c>
      <c r="J48" s="41"/>
      <c r="K48" s="47">
        <f>I!H29</f>
        <v>0</v>
      </c>
      <c r="L48" s="26">
        <f>I!I29</f>
        <v>146</v>
      </c>
      <c r="M48" s="41"/>
      <c r="N48" s="47">
        <f>I!J29</f>
        <v>0</v>
      </c>
      <c r="O48" s="26">
        <f>I!K29</f>
        <v>126</v>
      </c>
      <c r="P48" s="41"/>
      <c r="Q48" s="47">
        <f>I!L29</f>
        <v>0</v>
      </c>
      <c r="R48" s="26">
        <f>I!M29</f>
        <v>125</v>
      </c>
      <c r="S48" s="41"/>
      <c r="T48" s="102">
        <f>I!N29</f>
        <v>0</v>
      </c>
      <c r="U48" s="26">
        <f>I!O29</f>
        <v>40</v>
      </c>
      <c r="V48" s="41">
        <v>20</v>
      </c>
      <c r="W48" s="47">
        <f>I!P29</f>
        <v>0</v>
      </c>
      <c r="X48" s="26">
        <f>I!Q29</f>
        <v>131</v>
      </c>
      <c r="Y48" s="41"/>
      <c r="Z48" s="107">
        <f>I!R29</f>
        <v>0</v>
      </c>
      <c r="AA48" s="26">
        <f>I!S29</f>
        <v>130</v>
      </c>
      <c r="AB48" s="41">
        <v>26</v>
      </c>
      <c r="AC48" s="48">
        <f>I!T29</f>
        <v>0</v>
      </c>
      <c r="AD48" s="26">
        <f>I!U29</f>
        <v>59</v>
      </c>
      <c r="AE48" s="66"/>
    </row>
    <row r="49" spans="1:31" s="28" customFormat="1" x14ac:dyDescent="0.25">
      <c r="A49" s="24">
        <v>2</v>
      </c>
      <c r="B49" s="102" t="str">
        <f>I!B30</f>
        <v>KARAMOH</v>
      </c>
      <c r="C49" s="26">
        <f>I!C30</f>
        <v>1</v>
      </c>
      <c r="D49" s="41"/>
      <c r="E49" s="47" t="str">
        <f>I!D30</f>
        <v>BELOTTI</v>
      </c>
      <c r="F49" s="26">
        <f>I!E30</f>
        <v>90</v>
      </c>
      <c r="G49" s="41"/>
      <c r="H49" s="102" t="str">
        <f>I!F30</f>
        <v>CIANO</v>
      </c>
      <c r="I49" s="26">
        <f>I!G30</f>
        <v>3</v>
      </c>
      <c r="J49" s="41"/>
      <c r="K49" s="102">
        <f>I!H30</f>
        <v>0</v>
      </c>
      <c r="L49" s="26">
        <f>I!I30</f>
        <v>2</v>
      </c>
      <c r="M49" s="41">
        <v>2</v>
      </c>
      <c r="N49" s="47">
        <f>I!J30</f>
        <v>0</v>
      </c>
      <c r="O49" s="26">
        <f>I!K30</f>
        <v>11</v>
      </c>
      <c r="P49" s="41"/>
      <c r="Q49" s="102">
        <f>I!L30</f>
        <v>0</v>
      </c>
      <c r="R49" s="26">
        <f>I!M30</f>
        <v>4</v>
      </c>
      <c r="S49" s="41">
        <v>9</v>
      </c>
      <c r="T49" s="102">
        <f>I!N30</f>
        <v>0</v>
      </c>
      <c r="U49" s="26">
        <f>I!O30</f>
        <v>60</v>
      </c>
      <c r="V49" s="41">
        <v>50</v>
      </c>
      <c r="W49" s="47">
        <f>I!P30</f>
        <v>0</v>
      </c>
      <c r="X49" s="26">
        <f>I!Q30</f>
        <v>34</v>
      </c>
      <c r="Y49" s="41"/>
      <c r="Z49" s="107">
        <f>I!R30</f>
        <v>0</v>
      </c>
      <c r="AA49" s="26">
        <f>I!S30</f>
        <v>34</v>
      </c>
      <c r="AB49" s="41"/>
      <c r="AC49" s="48">
        <f>I!T30</f>
        <v>0</v>
      </c>
      <c r="AD49" s="26">
        <f>I!U30</f>
        <v>91</v>
      </c>
      <c r="AE49" s="66"/>
    </row>
    <row r="50" spans="1:31" s="28" customFormat="1" x14ac:dyDescent="0.25">
      <c r="A50" s="24">
        <v>3</v>
      </c>
      <c r="B50" s="47" t="str">
        <f>I!B31</f>
        <v>PIATEK</v>
      </c>
      <c r="C50" s="26">
        <f>I!C31</f>
        <v>15</v>
      </c>
      <c r="D50" s="41"/>
      <c r="E50" s="47" t="str">
        <f>I!D31</f>
        <v>PALOSCHI</v>
      </c>
      <c r="F50" s="26">
        <f>I!E31</f>
        <v>1</v>
      </c>
      <c r="G50" s="41"/>
      <c r="H50" s="47" t="str">
        <f>I!F31</f>
        <v>INSIGNE</v>
      </c>
      <c r="I50" s="26">
        <f>I!G31</f>
        <v>32</v>
      </c>
      <c r="J50" s="41"/>
      <c r="K50" s="47">
        <f>I!H31</f>
        <v>0</v>
      </c>
      <c r="L50" s="26">
        <f>I!I31</f>
        <v>14</v>
      </c>
      <c r="M50" s="41"/>
      <c r="N50" s="102">
        <f>I!J31</f>
        <v>0</v>
      </c>
      <c r="O50" s="26">
        <f>I!K31</f>
        <v>22</v>
      </c>
      <c r="P50" s="41">
        <v>8</v>
      </c>
      <c r="Q50" s="47">
        <f>I!L31</f>
        <v>0</v>
      </c>
      <c r="R50" s="26">
        <f>I!M31</f>
        <v>21</v>
      </c>
      <c r="S50" s="41"/>
      <c r="T50" s="47">
        <f>I!N31</f>
        <v>0</v>
      </c>
      <c r="U50" s="26">
        <f>I!O31</f>
        <v>4</v>
      </c>
      <c r="V50" s="41"/>
      <c r="W50" s="102">
        <f>I!P31</f>
        <v>0</v>
      </c>
      <c r="X50" s="26">
        <f>I!Q31</f>
        <v>7</v>
      </c>
      <c r="Y50" s="41">
        <v>13</v>
      </c>
      <c r="Z50" s="107">
        <f>I!R31</f>
        <v>0</v>
      </c>
      <c r="AA50" s="26">
        <f>I!S31</f>
        <v>1</v>
      </c>
      <c r="AB50" s="41">
        <v>7</v>
      </c>
      <c r="AC50" s="48">
        <f>I!T31</f>
        <v>0</v>
      </c>
      <c r="AD50" s="26">
        <f>I!U31</f>
        <v>27</v>
      </c>
      <c r="AE50" s="66"/>
    </row>
    <row r="51" spans="1:31" s="28" customFormat="1" x14ac:dyDescent="0.25">
      <c r="A51" s="24">
        <v>4</v>
      </c>
      <c r="B51" s="47" t="str">
        <f>I!B32</f>
        <v>KEITA B</v>
      </c>
      <c r="C51" s="26">
        <f>I!C32</f>
        <v>2</v>
      </c>
      <c r="D51" s="41"/>
      <c r="E51" s="47" t="str">
        <f>I!D32</f>
        <v>LA GUMINA</v>
      </c>
      <c r="F51" s="26">
        <f>I!E32</f>
        <v>1</v>
      </c>
      <c r="G51" s="41"/>
      <c r="H51" s="102" t="str">
        <f>I!F32</f>
        <v>SIMEONE</v>
      </c>
      <c r="I51" s="26">
        <f>I!G32</f>
        <v>31</v>
      </c>
      <c r="J51" s="41">
        <v>17</v>
      </c>
      <c r="K51" s="102">
        <f>I!H32</f>
        <v>0</v>
      </c>
      <c r="L51" s="26">
        <f>I!I32</f>
        <v>2</v>
      </c>
      <c r="M51" s="41">
        <v>7</v>
      </c>
      <c r="N51" s="47">
        <f>I!J32</f>
        <v>0</v>
      </c>
      <c r="O51" s="26">
        <f>I!K32</f>
        <v>5</v>
      </c>
      <c r="P51" s="41"/>
      <c r="Q51" s="47">
        <f>I!L32</f>
        <v>0</v>
      </c>
      <c r="R51" s="26">
        <f>I!M32</f>
        <v>22</v>
      </c>
      <c r="S51" s="41"/>
      <c r="T51" s="102">
        <f>I!N32</f>
        <v>0</v>
      </c>
      <c r="U51" s="26">
        <f>I!O32</f>
        <v>17</v>
      </c>
      <c r="V51" s="41">
        <v>17</v>
      </c>
      <c r="W51" s="47">
        <f>I!P32</f>
        <v>0</v>
      </c>
      <c r="X51" s="26">
        <f>I!Q32</f>
        <v>18</v>
      </c>
      <c r="Y51" s="41"/>
      <c r="Z51" s="107">
        <f>I!R32</f>
        <v>0</v>
      </c>
      <c r="AA51" s="26">
        <f>I!S32</f>
        <v>20</v>
      </c>
      <c r="AB51" s="41">
        <v>5</v>
      </c>
      <c r="AC51" s="48">
        <f>I!T32</f>
        <v>0</v>
      </c>
      <c r="AD51" s="26">
        <f>I!U32</f>
        <v>19</v>
      </c>
      <c r="AE51" s="66"/>
    </row>
    <row r="52" spans="1:31" s="28" customFormat="1" x14ac:dyDescent="0.25">
      <c r="A52" s="24">
        <v>5</v>
      </c>
      <c r="B52" s="102" t="str">
        <f>I!B33</f>
        <v>MACHIS</v>
      </c>
      <c r="C52" s="26">
        <f>I!C33</f>
        <v>1</v>
      </c>
      <c r="D52" s="41">
        <v>8</v>
      </c>
      <c r="E52" s="102" t="str">
        <f>I!D33</f>
        <v>THEREAU</v>
      </c>
      <c r="F52" s="26">
        <f>I!E33</f>
        <v>1</v>
      </c>
      <c r="G52" s="41">
        <v>4</v>
      </c>
      <c r="H52" s="47" t="str">
        <f>I!F33</f>
        <v>GOMEZ A</v>
      </c>
      <c r="I52" s="26">
        <f>I!G33</f>
        <v>31</v>
      </c>
      <c r="J52" s="41"/>
      <c r="K52" s="102">
        <f>I!H33</f>
        <v>0</v>
      </c>
      <c r="L52" s="26">
        <f>I!I33</f>
        <v>16</v>
      </c>
      <c r="M52" s="41">
        <v>20</v>
      </c>
      <c r="N52" s="102">
        <f>I!J33</f>
        <v>0</v>
      </c>
      <c r="O52" s="26">
        <f>I!K33</f>
        <v>1</v>
      </c>
      <c r="P52" s="41">
        <v>5</v>
      </c>
      <c r="Q52" s="47">
        <f>I!L33</f>
        <v>0</v>
      </c>
      <c r="R52" s="26">
        <f>I!M33</f>
        <v>8</v>
      </c>
      <c r="S52" s="41"/>
      <c r="T52" s="47">
        <f>I!N33</f>
        <v>0</v>
      </c>
      <c r="U52" s="26">
        <f>I!O33</f>
        <v>4</v>
      </c>
      <c r="V52" s="41"/>
      <c r="W52" s="102">
        <f>I!P33</f>
        <v>0</v>
      </c>
      <c r="X52" s="26">
        <f>I!Q33</f>
        <v>14</v>
      </c>
      <c r="Y52" s="41">
        <v>11</v>
      </c>
      <c r="Z52" s="107">
        <f>I!R33</f>
        <v>0</v>
      </c>
      <c r="AA52" s="26">
        <f>I!S33</f>
        <v>2</v>
      </c>
      <c r="AB52" s="41">
        <v>5</v>
      </c>
      <c r="AC52" s="107">
        <f>I!T33</f>
        <v>0</v>
      </c>
      <c r="AD52" s="26">
        <f>I!U33</f>
        <v>1</v>
      </c>
      <c r="AE52" s="66">
        <v>5</v>
      </c>
    </row>
    <row r="53" spans="1:31" s="28" customFormat="1" x14ac:dyDescent="0.25">
      <c r="A53" s="24">
        <v>6</v>
      </c>
      <c r="B53" s="47" t="str">
        <f>I!B34</f>
        <v>CAPUTO</v>
      </c>
      <c r="C53" s="26">
        <f>I!C34</f>
        <v>3</v>
      </c>
      <c r="D53" s="41"/>
      <c r="E53" s="102" t="str">
        <f>I!D34</f>
        <v>DIONISI</v>
      </c>
      <c r="F53" s="26">
        <f>I!E34</f>
        <v>1</v>
      </c>
      <c r="G53" s="41">
        <v>5</v>
      </c>
      <c r="H53" s="102" t="str">
        <f>I!F34</f>
        <v>ZAZA</v>
      </c>
      <c r="I53" s="26">
        <f>I!G34</f>
        <v>33</v>
      </c>
      <c r="J53" s="41">
        <v>16</v>
      </c>
      <c r="K53" s="102">
        <f>I!H34</f>
        <v>0</v>
      </c>
      <c r="L53" s="26">
        <f>I!I34</f>
        <v>2</v>
      </c>
      <c r="M53" s="41"/>
      <c r="N53" s="102">
        <f>I!J34</f>
        <v>0</v>
      </c>
      <c r="O53" s="26">
        <f>I!K34</f>
        <v>4</v>
      </c>
      <c r="P53" s="41">
        <v>12</v>
      </c>
      <c r="Q53" s="47">
        <f>I!L34</f>
        <v>0</v>
      </c>
      <c r="R53" s="26">
        <f>I!M34</f>
        <v>24</v>
      </c>
      <c r="S53" s="41"/>
      <c r="T53" s="47">
        <f>I!N34</f>
        <v>0</v>
      </c>
      <c r="U53" s="26">
        <f>I!O34</f>
        <v>1</v>
      </c>
      <c r="V53" s="41"/>
      <c r="W53" s="102">
        <f>I!P34</f>
        <v>0</v>
      </c>
      <c r="X53" s="26">
        <f>I!Q34</f>
        <v>1</v>
      </c>
      <c r="Y53" s="41"/>
      <c r="Z53" s="107">
        <f>I!R34</f>
        <v>0</v>
      </c>
      <c r="AA53" s="26">
        <f>I!S34</f>
        <v>1</v>
      </c>
      <c r="AB53" s="41"/>
      <c r="AC53" s="48">
        <f>I!T34</f>
        <v>0</v>
      </c>
      <c r="AD53" s="26">
        <f>I!U34</f>
        <v>4</v>
      </c>
      <c r="AE53" s="66"/>
    </row>
    <row r="54" spans="1:31" s="28" customFormat="1" x14ac:dyDescent="0.25">
      <c r="A54" s="24" t="s">
        <v>19</v>
      </c>
      <c r="B54" s="109" t="s">
        <v>498</v>
      </c>
      <c r="C54" s="82"/>
      <c r="D54" s="89">
        <v>9</v>
      </c>
      <c r="E54" s="88" t="s">
        <v>336</v>
      </c>
      <c r="F54" s="82">
        <v>17</v>
      </c>
      <c r="G54" s="89"/>
      <c r="H54" s="88" t="s">
        <v>101</v>
      </c>
      <c r="I54" s="82">
        <v>2</v>
      </c>
      <c r="J54" s="89"/>
      <c r="K54" s="88" t="s">
        <v>502</v>
      </c>
      <c r="L54" s="82"/>
      <c r="M54" s="89"/>
      <c r="N54" s="88" t="s">
        <v>470</v>
      </c>
      <c r="O54" s="82">
        <v>2</v>
      </c>
      <c r="P54" s="89"/>
      <c r="Q54" s="88" t="s">
        <v>333</v>
      </c>
      <c r="R54" s="82">
        <v>1</v>
      </c>
      <c r="S54" s="89"/>
      <c r="T54" s="88" t="s">
        <v>504</v>
      </c>
      <c r="U54" s="82"/>
      <c r="V54" s="89"/>
      <c r="W54" s="109" t="s">
        <v>481</v>
      </c>
      <c r="X54" s="82"/>
      <c r="Y54" s="91">
        <v>12</v>
      </c>
      <c r="Z54" s="96"/>
      <c r="AA54" s="82"/>
      <c r="AB54" s="91"/>
      <c r="AC54" s="96"/>
      <c r="AD54" s="82">
        <v>3</v>
      </c>
      <c r="AE54" s="97"/>
    </row>
    <row r="55" spans="1:31" s="28" customFormat="1" x14ac:dyDescent="0.25">
      <c r="A55" s="24" t="s">
        <v>20</v>
      </c>
      <c r="B55" s="47" t="s">
        <v>505</v>
      </c>
      <c r="C55" s="26">
        <v>9</v>
      </c>
      <c r="D55" s="32"/>
      <c r="E55" s="47" t="s">
        <v>66</v>
      </c>
      <c r="F55" s="26"/>
      <c r="G55" s="32"/>
      <c r="H55" s="47" t="s">
        <v>184</v>
      </c>
      <c r="I55" s="26">
        <v>50</v>
      </c>
      <c r="J55" s="32"/>
      <c r="K55" s="47" t="s">
        <v>655</v>
      </c>
      <c r="L55" s="26">
        <v>70</v>
      </c>
      <c r="M55" s="32"/>
      <c r="N55" s="47" t="s">
        <v>82</v>
      </c>
      <c r="O55" s="26">
        <v>1</v>
      </c>
      <c r="P55" s="32"/>
      <c r="Q55" s="47"/>
      <c r="R55" s="26"/>
      <c r="S55" s="32"/>
      <c r="T55" s="47" t="s">
        <v>662</v>
      </c>
      <c r="U55" s="26">
        <v>79</v>
      </c>
      <c r="V55" s="32"/>
      <c r="W55" s="47" t="s">
        <v>585</v>
      </c>
      <c r="X55" s="26">
        <v>27</v>
      </c>
      <c r="Y55" s="32"/>
      <c r="Z55" s="48"/>
      <c r="AA55" s="26">
        <v>4</v>
      </c>
      <c r="AB55" s="32"/>
      <c r="AC55" s="48"/>
      <c r="AD55" s="26"/>
      <c r="AE55" s="68"/>
    </row>
    <row r="56" spans="1:31" s="28" customFormat="1" x14ac:dyDescent="0.25">
      <c r="A56" s="24" t="s">
        <v>21</v>
      </c>
      <c r="B56" s="47" t="s">
        <v>493</v>
      </c>
      <c r="C56" s="26">
        <v>1</v>
      </c>
      <c r="D56" s="32"/>
      <c r="E56" s="47"/>
      <c r="F56" s="26"/>
      <c r="G56" s="32"/>
      <c r="H56" s="47" t="s">
        <v>169</v>
      </c>
      <c r="I56" s="26">
        <v>1</v>
      </c>
      <c r="J56" s="32"/>
      <c r="K56" s="47" t="s">
        <v>313</v>
      </c>
      <c r="L56" s="26">
        <v>6</v>
      </c>
      <c r="M56" s="32"/>
      <c r="N56" s="47" t="s">
        <v>406</v>
      </c>
      <c r="O56" s="26">
        <v>1</v>
      </c>
      <c r="P56" s="32"/>
      <c r="Q56" s="47"/>
      <c r="R56" s="26"/>
      <c r="S56" s="32"/>
      <c r="T56" s="47" t="s">
        <v>674</v>
      </c>
      <c r="U56" s="26">
        <v>4</v>
      </c>
      <c r="V56" s="32"/>
      <c r="W56" s="47" t="s">
        <v>385</v>
      </c>
      <c r="X56" s="26">
        <v>1</v>
      </c>
      <c r="Y56" s="32"/>
      <c r="Z56" s="48"/>
      <c r="AA56" s="26"/>
      <c r="AB56" s="32"/>
      <c r="AC56" s="48"/>
      <c r="AD56" s="26"/>
      <c r="AE56" s="68"/>
    </row>
    <row r="57" spans="1:31" s="28" customFormat="1" x14ac:dyDescent="0.25">
      <c r="A57" s="24" t="s">
        <v>22</v>
      </c>
      <c r="B57" s="47"/>
      <c r="C57" s="26"/>
      <c r="D57" s="32"/>
      <c r="E57" s="47"/>
      <c r="F57" s="26"/>
      <c r="G57" s="32"/>
      <c r="H57" s="47" t="s">
        <v>401</v>
      </c>
      <c r="I57" s="26">
        <v>2</v>
      </c>
      <c r="J57" s="32"/>
      <c r="K57" s="47" t="s">
        <v>249</v>
      </c>
      <c r="L57" s="26">
        <v>1</v>
      </c>
      <c r="M57" s="32"/>
      <c r="N57" s="47"/>
      <c r="O57" s="26"/>
      <c r="P57" s="32"/>
      <c r="Q57" s="47"/>
      <c r="R57" s="26"/>
      <c r="S57" s="32"/>
      <c r="T57" s="47"/>
      <c r="U57" s="26"/>
      <c r="V57" s="32"/>
      <c r="W57" s="47" t="s">
        <v>300</v>
      </c>
      <c r="X57" s="26">
        <v>1</v>
      </c>
      <c r="Y57" s="32"/>
      <c r="Z57" s="48"/>
      <c r="AA57" s="26">
        <v>25</v>
      </c>
      <c r="AB57" s="32"/>
      <c r="AC57" s="48"/>
      <c r="AD57" s="26"/>
      <c r="AE57" s="68"/>
    </row>
    <row r="58" spans="1:31" s="28" customFormat="1" x14ac:dyDescent="0.25">
      <c r="A58" s="24" t="s">
        <v>23</v>
      </c>
      <c r="B58" s="47"/>
      <c r="C58" s="26"/>
      <c r="D58" s="32"/>
      <c r="E58" s="47"/>
      <c r="F58" s="26"/>
      <c r="G58" s="32"/>
      <c r="H58" s="47"/>
      <c r="I58" s="26"/>
      <c r="J58" s="32"/>
      <c r="K58" s="47"/>
      <c r="L58" s="26"/>
      <c r="M58" s="32"/>
      <c r="N58" s="47"/>
      <c r="O58" s="26"/>
      <c r="P58" s="32"/>
      <c r="Q58" s="47"/>
      <c r="R58" s="26"/>
      <c r="S58" s="32"/>
      <c r="T58" s="47"/>
      <c r="U58" s="26"/>
      <c r="V58" s="32"/>
      <c r="W58" s="47"/>
      <c r="X58" s="26"/>
      <c r="Y58" s="32"/>
      <c r="Z58" s="48"/>
      <c r="AA58" s="26">
        <v>15</v>
      </c>
      <c r="AB58" s="32"/>
      <c r="AC58" s="48"/>
      <c r="AD58" s="26"/>
      <c r="AE58" s="68"/>
    </row>
    <row r="59" spans="1:31" s="28" customFormat="1" x14ac:dyDescent="0.25">
      <c r="A59" s="24" t="s">
        <v>24</v>
      </c>
      <c r="B59" s="47"/>
      <c r="C59" s="26"/>
      <c r="D59" s="32"/>
      <c r="E59" s="47"/>
      <c r="F59" s="26"/>
      <c r="G59" s="32"/>
      <c r="H59" s="47"/>
      <c r="I59" s="26"/>
      <c r="J59" s="32"/>
      <c r="K59" s="47"/>
      <c r="L59" s="26"/>
      <c r="M59" s="32"/>
      <c r="N59" s="47"/>
      <c r="O59" s="26"/>
      <c r="P59" s="32"/>
      <c r="Q59" s="47"/>
      <c r="R59" s="26"/>
      <c r="S59" s="32"/>
      <c r="T59" s="47"/>
      <c r="U59" s="26"/>
      <c r="V59" s="32"/>
      <c r="W59" s="47"/>
      <c r="X59" s="26"/>
      <c r="Y59" s="32"/>
      <c r="Z59" s="48"/>
      <c r="AA59" s="26">
        <v>1</v>
      </c>
      <c r="AB59" s="32"/>
      <c r="AC59" s="48"/>
      <c r="AD59" s="26"/>
      <c r="AE59" s="68"/>
    </row>
    <row r="60" spans="1:31" s="2" customFormat="1" x14ac:dyDescent="0.25">
      <c r="A60" s="30" t="s">
        <v>17</v>
      </c>
      <c r="B60" s="5"/>
      <c r="C60" s="12">
        <f ca="1">6-COUNTA(B48:B59)+CountStrike(B48:B59)</f>
        <v>0</v>
      </c>
      <c r="D60" s="15">
        <f>SUM(D48:D53)+SUM(D54:D59)-SUM(C54:C59)</f>
        <v>7</v>
      </c>
      <c r="E60" s="5"/>
      <c r="F60" s="12">
        <f t="shared" ref="F60" ca="1" si="52">6-COUNTA(E48:E59)+CountStrike(E48:E59)</f>
        <v>0</v>
      </c>
      <c r="G60" s="15">
        <f t="shared" ref="G60" si="53">SUM(G48:G53)+SUM(G54:G59)-SUM(F54:F59)</f>
        <v>-8</v>
      </c>
      <c r="H60" s="5"/>
      <c r="I60" s="12">
        <f t="shared" ref="I60" ca="1" si="54">6-COUNTA(H48:H59)+CountStrike(H48:H59)</f>
        <v>0</v>
      </c>
      <c r="J60" s="15">
        <f t="shared" ref="J60" si="55">SUM(J48:J53)+SUM(J54:J59)-SUM(I54:I59)</f>
        <v>-22</v>
      </c>
      <c r="K60" s="5"/>
      <c r="L60" s="12">
        <f t="shared" ref="L60" ca="1" si="56">6-COUNTA(K48:K59)+CountStrike(K48:K59)</f>
        <v>0</v>
      </c>
      <c r="M60" s="15">
        <f t="shared" ref="M60" si="57">SUM(M48:M53)+SUM(M54:M59)-SUM(L54:L59)</f>
        <v>-48</v>
      </c>
      <c r="N60" s="5"/>
      <c r="O60" s="12">
        <f t="shared" ref="O60" ca="1" si="58">6-COUNTA(N48:N59)+CountStrike(N48:N59)</f>
        <v>0</v>
      </c>
      <c r="P60" s="15">
        <f t="shared" ref="P60" si="59">SUM(P48:P53)+SUM(P54:P59)-SUM(O54:O59)</f>
        <v>21</v>
      </c>
      <c r="Q60" s="5"/>
      <c r="R60" s="12">
        <f t="shared" ref="R60" ca="1" si="60">6-COUNTA(Q48:Q59)+CountStrike(Q48:Q59)</f>
        <v>0</v>
      </c>
      <c r="S60" s="15">
        <f t="shared" ref="S60" si="61">SUM(S48:S53)+SUM(S54:S59)-SUM(R54:R59)</f>
        <v>8</v>
      </c>
      <c r="T60" s="5"/>
      <c r="U60" s="12">
        <f t="shared" ref="U60" ca="1" si="62">6-COUNTA(T48:T59)+CountStrike(T48:T59)</f>
        <v>0</v>
      </c>
      <c r="V60" s="15">
        <f t="shared" ref="V60" si="63">SUM(V48:V53)+SUM(V54:V59)-SUM(U54:U59)</f>
        <v>4</v>
      </c>
      <c r="W60" s="5"/>
      <c r="X60" s="12">
        <f t="shared" ref="X60" ca="1" si="64">6-COUNTA(W48:W59)+CountStrike(W48:W59)</f>
        <v>0</v>
      </c>
      <c r="Y60" s="15">
        <f t="shared" ref="Y60" si="65">SUM(Y48:Y53)+SUM(Y54:Y59)-SUM(X54:X59)</f>
        <v>7</v>
      </c>
      <c r="Z60" s="5"/>
      <c r="AA60" s="12">
        <f t="shared" ref="AA60" ca="1" si="66">6-COUNTA(Z48:Z59)+CountStrike(Z48:Z59)</f>
        <v>6</v>
      </c>
      <c r="AB60" s="15">
        <f t="shared" ref="AB60" si="67">SUM(AB48:AB53)+SUM(AB54:AB59)-SUM(AA54:AA59)</f>
        <v>-2</v>
      </c>
      <c r="AC60" s="21"/>
      <c r="AD60" s="12">
        <f t="shared" ref="AD60" ca="1" si="68">6-COUNTA(AC48:AC59)+CountStrike(AC48:AC59)</f>
        <v>1</v>
      </c>
      <c r="AE60" s="67">
        <f t="shared" ref="AE60" si="69">SUM(AE48:AE53)+SUM(AE54:AE59)-SUM(AD54:AD59)</f>
        <v>2</v>
      </c>
    </row>
    <row r="61" spans="1:31" s="2" customFormat="1" ht="14.4" thickBot="1" x14ac:dyDescent="0.3">
      <c r="A61" s="17"/>
      <c r="B61" s="5"/>
      <c r="C61" s="12"/>
      <c r="D61" s="15"/>
      <c r="E61" s="5"/>
      <c r="F61" s="12"/>
      <c r="G61" s="15"/>
      <c r="H61" s="5"/>
      <c r="I61" s="12"/>
      <c r="J61" s="15"/>
      <c r="K61" s="5"/>
      <c r="L61" s="12"/>
      <c r="M61" s="15"/>
      <c r="N61" s="5"/>
      <c r="O61" s="12"/>
      <c r="P61" s="15"/>
      <c r="Q61" s="5"/>
      <c r="R61" s="12"/>
      <c r="S61" s="15"/>
      <c r="T61" s="5"/>
      <c r="U61" s="12"/>
      <c r="V61" s="15"/>
      <c r="W61" s="5"/>
      <c r="X61" s="12"/>
      <c r="Y61" s="15"/>
      <c r="Z61" s="39"/>
      <c r="AA61" s="40"/>
      <c r="AB61" s="110"/>
      <c r="AC61" s="39"/>
      <c r="AD61" s="40"/>
      <c r="AE61" s="69"/>
    </row>
    <row r="62" spans="1:31" s="7" customFormat="1" ht="15.6" x14ac:dyDescent="0.3">
      <c r="A62" s="30" t="s">
        <v>12</v>
      </c>
      <c r="B62" s="112"/>
      <c r="C62" s="13">
        <f ca="1">SUM(C60,C46,C28,C10)</f>
        <v>1</v>
      </c>
      <c r="D62" s="16">
        <f>SUM(C7:C9)+SUM(C54:C59)+SUM(C38:C45)+SUM(C20:C27)</f>
        <v>47</v>
      </c>
      <c r="E62" s="112"/>
      <c r="F62" s="13">
        <f t="shared" ref="F62" ca="1" si="70">SUM(F60,F46,F28,F10)</f>
        <v>1</v>
      </c>
      <c r="G62" s="16">
        <f t="shared" ref="G62" si="71">SUM(F7:F9)+SUM(F54:F59)+SUM(F38:F45)+SUM(F20:F27)</f>
        <v>36</v>
      </c>
      <c r="H62" s="112"/>
      <c r="I62" s="13">
        <f t="shared" ref="I62" ca="1" si="72">SUM(I60,I46,I28,I10)</f>
        <v>1</v>
      </c>
      <c r="J62" s="16">
        <f t="shared" ref="J62" si="73">SUM(I7:I9)+SUM(I54:I59)+SUM(I38:I45)+SUM(I20:I27)</f>
        <v>87</v>
      </c>
      <c r="K62" s="112"/>
      <c r="L62" s="13">
        <f t="shared" ref="L62" ca="1" si="74">SUM(L60,L46,L28,L10)</f>
        <v>0</v>
      </c>
      <c r="M62" s="16">
        <f t="shared" ref="M62" si="75">SUM(L7:L9)+SUM(L54:L59)+SUM(L38:L45)+SUM(L20:L27)</f>
        <v>86</v>
      </c>
      <c r="N62" s="112"/>
      <c r="O62" s="13">
        <f t="shared" ref="O62" ca="1" si="76">SUM(O60,O46,O28,O10)</f>
        <v>0</v>
      </c>
      <c r="P62" s="16">
        <f t="shared" ref="P62" si="77">SUM(O7:O9)+SUM(O54:O59)+SUM(O38:O45)+SUM(O20:O27)</f>
        <v>49</v>
      </c>
      <c r="Q62" s="112"/>
      <c r="R62" s="13">
        <f t="shared" ref="R62" ca="1" si="78">SUM(R60,R46,R28,R10)</f>
        <v>0</v>
      </c>
      <c r="S62" s="16">
        <f t="shared" ref="S62" si="79">SUM(R7:R9)+SUM(R54:R59)+SUM(R38:R45)+SUM(R20:R27)</f>
        <v>83</v>
      </c>
      <c r="T62" s="112"/>
      <c r="U62" s="13">
        <f t="shared" ref="U62" ca="1" si="80">SUM(U60,U46,U28,U10)</f>
        <v>0</v>
      </c>
      <c r="V62" s="16">
        <f t="shared" ref="V62" si="81">SUM(U7:U9)+SUM(U54:U59)+SUM(U38:U45)+SUM(U20:U27)</f>
        <v>176</v>
      </c>
      <c r="W62" s="112"/>
      <c r="X62" s="13">
        <f t="shared" ref="X62" ca="1" si="82">SUM(X60,X46,X28,X10)</f>
        <v>0</v>
      </c>
      <c r="Y62" s="16">
        <f t="shared" ref="Y62" si="83">SUM(X7:X9)+SUM(X54:X59)+SUM(X38:X45)+SUM(X20:X27)</f>
        <v>71</v>
      </c>
      <c r="Z62" s="112"/>
      <c r="AA62" s="13">
        <f t="shared" ref="AA62" ca="1" si="84">SUM(AA60,AA46,AA28,AA10)</f>
        <v>13</v>
      </c>
      <c r="AB62" s="16">
        <f t="shared" ref="AB62" si="85">SUM(AA7:AA9)+SUM(AA54:AA59)+SUM(AA38:AA45)+SUM(AA20:AA27)</f>
        <v>90</v>
      </c>
      <c r="AC62" s="123"/>
      <c r="AD62" s="124">
        <f t="shared" ref="AD62" ca="1" si="86">SUM(AD60,AD46,AD28,AD10)</f>
        <v>5</v>
      </c>
      <c r="AE62" s="125">
        <f t="shared" ref="AE62" si="87">SUM(AD7:AD9)+SUM(AD54:AD59)+SUM(AD38:AD45)+SUM(AD20:AD27)</f>
        <v>38</v>
      </c>
    </row>
    <row r="63" spans="1:31" s="37" customFormat="1" ht="15.6" thickBot="1" x14ac:dyDescent="0.3">
      <c r="A63" s="33" t="s">
        <v>18</v>
      </c>
      <c r="B63" s="113"/>
      <c r="C63" s="114"/>
      <c r="D63" s="36">
        <f>D2+SUM(D48:D59)+SUM(D30:D45)+SUM(D12:D27)+SUM(D4:D9)-D62</f>
        <v>-2</v>
      </c>
      <c r="E63" s="113"/>
      <c r="F63" s="114"/>
      <c r="G63" s="36">
        <f t="shared" ref="G63" si="88">G2+SUM(G48:G59)+SUM(G30:G45)+SUM(G12:G27)+SUM(G4:G9)-G62</f>
        <v>2</v>
      </c>
      <c r="H63" s="113"/>
      <c r="I63" s="114"/>
      <c r="J63" s="36">
        <f t="shared" ref="J63" si="89">J2+SUM(J48:J59)+SUM(J30:J45)+SUM(J12:J27)+SUM(J4:J9)-J62</f>
        <v>5</v>
      </c>
      <c r="K63" s="113"/>
      <c r="L63" s="114"/>
      <c r="M63" s="36">
        <f t="shared" ref="M63" si="90">M2+SUM(M48:M59)+SUM(M30:M45)+SUM(M12:M27)+SUM(M4:M9)-M62</f>
        <v>22</v>
      </c>
      <c r="N63" s="113"/>
      <c r="O63" s="114"/>
      <c r="P63" s="36">
        <f t="shared" ref="P63" si="91">P2+SUM(P48:P59)+SUM(P30:P45)+SUM(P12:P27)+SUM(P4:P9)-P62</f>
        <v>0</v>
      </c>
      <c r="Q63" s="113"/>
      <c r="R63" s="114"/>
      <c r="S63" s="36">
        <f t="shared" ref="S63" si="92">S2+SUM(S48:S59)+SUM(S30:S45)+SUM(S12:S27)+SUM(S4:S9)-S62</f>
        <v>0</v>
      </c>
      <c r="T63" s="113"/>
      <c r="U63" s="114"/>
      <c r="V63" s="36">
        <f t="shared" ref="V63" si="93">V2+SUM(V48:V59)+SUM(V30:V45)+SUM(V12:V27)+SUM(V4:V9)-V62</f>
        <v>11</v>
      </c>
      <c r="W63" s="113"/>
      <c r="X63" s="114"/>
      <c r="Y63" s="36">
        <f t="shared" ref="Y63" si="94">Y2+SUM(Y48:Y59)+SUM(Y30:Y45)+SUM(Y12:Y27)+SUM(Y4:Y9)-Y62</f>
        <v>27</v>
      </c>
      <c r="Z63" s="113"/>
      <c r="AA63" s="114"/>
      <c r="AB63" s="36">
        <f t="shared" ref="AB63" si="95">AB2+SUM(AB48:AB59)+SUM(AB30:AB45)+SUM(AB12:AB27)+SUM(AB4:AB9)-AB62</f>
        <v>2</v>
      </c>
      <c r="AC63" s="115"/>
      <c r="AD63" s="116"/>
      <c r="AE63" s="75">
        <f t="shared" ref="AE63" si="96">AE2+SUM(AE48:AE59)+SUM(AE30:AE45)+SUM(AE12:AE27)+SUM(AE4:AE9)-AE62</f>
        <v>0</v>
      </c>
    </row>
    <row r="64" spans="1:31" x14ac:dyDescent="0.25">
      <c r="B64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11"/>
      <c r="AC64" s="11"/>
    </row>
  </sheetData>
  <conditionalFormatting sqref="C10 F10 I10 L10 U10 AD10 O10 X10 R10 AA10">
    <cfRule type="cellIs" dxfId="9" priority="11" operator="notEqual">
      <formula>0</formula>
    </cfRule>
    <cfRule type="cellIs" dxfId="8" priority="12" operator="equal">
      <formula>0</formula>
    </cfRule>
  </conditionalFormatting>
  <conditionalFormatting sqref="C28 F28 I28 L28 O28 R28 U28 X28 AA28 AD28">
    <cfRule type="cellIs" dxfId="7" priority="9" operator="notEqual">
      <formula>0</formula>
    </cfRule>
    <cfRule type="cellIs" dxfId="6" priority="10" operator="equal">
      <formula>0</formula>
    </cfRule>
  </conditionalFormatting>
  <conditionalFormatting sqref="C46 F46 I46 L46 O46 R46 U46 X46 AA46 AD46">
    <cfRule type="cellIs" dxfId="5" priority="7" operator="notEqual">
      <formula>0</formula>
    </cfRule>
    <cfRule type="cellIs" dxfId="4" priority="8" operator="equal">
      <formula>0</formula>
    </cfRule>
  </conditionalFormatting>
  <conditionalFormatting sqref="C60 F60 I60 L60 O60 R60 U60 X60 AA60 AD60">
    <cfRule type="cellIs" dxfId="3" priority="5" operator="notEqual">
      <formula>0</formula>
    </cfRule>
    <cfRule type="cellIs" dxfId="2" priority="6" operator="equal">
      <formula>0</formula>
    </cfRule>
  </conditionalFormatting>
  <conditionalFormatting sqref="C62 F62 I62 L62 O62 R62 U62 X62 AA62 AD62">
    <cfRule type="cellIs" dxfId="1" priority="1" operator="notEqual">
      <formula>0</formula>
    </cfRule>
    <cfRule type="cellIs" dxfId="0" priority="2" operator="equal">
      <formula>0</formula>
    </cfRule>
  </conditionalFormatting>
  <dataValidations count="1">
    <dataValidation type="list" allowBlank="1" showInputMessage="1" showErrorMessage="1" sqref="B7:B9 E38:E45 AC38:AC45 Z54:Z59 K38:K45 N38:N45 Q38:Q45 T38:T45 W38:W45 Z38:Z45 B20:B27 B38:B45 B54:B59 E54:E59 AC54:AC59 H54:H59 K54:K59 N54:N59 Q54:Q59 T54:T59 W54:W59 H39:H45 E20:E27 AC20:AC27 H20:H27 K20:K27 N20:N27 Q20:Q27 T20:T27 W20:W27 Z20:Z27 E7:E9 H7:H9 K7:K9 N7:N9 Q7:Q9 T7:T9 W7:W9 Z7:Z9 AC7:AC9" xr:uid="{2F9FF4A8-2ECB-4BA6-95B3-562B971BCC65}">
      <formula1>PLAYERS</formula1>
    </dataValidation>
  </dataValidations>
  <pageMargins left="1" right="1" top="1" bottom="1" header="0.5" footer="0.5"/>
  <pageSetup paperSize="9" scale="43" orientation="landscape" r:id="rId1"/>
  <headerFooter>
    <oddHeader>&amp;C&amp;A</oddHeader>
    <oddFooter>&amp;CPage &amp;P</oddFooter>
  </headerFooter>
  <drawing r:id="rId2"/>
  <legacyDrawing r:id="rId3"/>
  <controls>
    <mc:AlternateContent xmlns:mc="http://schemas.openxmlformats.org/markup-compatibility/2006">
      <mc:Choice Requires="x14">
        <control shapeId="8194" r:id="rId4" name="PlayersCombo2">
          <controlPr defaultSize="0" autoLine="0" autoPict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0</xdr:col>
                <xdr:colOff>129540</xdr:colOff>
                <xdr:row>1</xdr:row>
                <xdr:rowOff>160020</xdr:rowOff>
              </to>
            </anchor>
          </controlPr>
        </control>
      </mc:Choice>
      <mc:Fallback>
        <control shapeId="8194" r:id="rId4" name="PlayersCombo2"/>
      </mc:Fallback>
    </mc:AlternateContent>
    <mc:AlternateContent xmlns:mc="http://schemas.openxmlformats.org/markup-compatibility/2006">
      <mc:Choice Requires="x14">
        <control shapeId="8193" r:id="rId6" name="Pulsante 4">
          <controlPr defaultSize="0" print="0" autoFill="0" autoPict="0" macro="[0]!Movimenti_Userform_Button">
            <anchor moveWithCells="1">
              <from>
                <xdr:col>31</xdr:col>
                <xdr:colOff>320040</xdr:colOff>
                <xdr:row>13</xdr:row>
                <xdr:rowOff>53340</xdr:rowOff>
              </from>
              <to>
                <xdr:col>32</xdr:col>
                <xdr:colOff>487680</xdr:colOff>
                <xdr:row>14</xdr:row>
                <xdr:rowOff>121920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"/>
  <dimension ref="A1:F549"/>
  <sheetViews>
    <sheetView zoomScale="70" zoomScaleNormal="70" workbookViewId="0">
      <pane ySplit="1" topLeftCell="A191" activePane="bottomLeft" state="frozen"/>
      <selection pane="bottomLeft" activeCell="F531" sqref="F531"/>
    </sheetView>
  </sheetViews>
  <sheetFormatPr defaultRowHeight="13.8" x14ac:dyDescent="0.25"/>
  <cols>
    <col min="1" max="1" width="5.8984375" bestFit="1" customWidth="1"/>
    <col min="2" max="2" width="17.69921875" bestFit="1" customWidth="1"/>
    <col min="3" max="3" width="12.69921875" bestFit="1" customWidth="1"/>
    <col min="4" max="4" width="9.3984375" bestFit="1" customWidth="1"/>
    <col min="5" max="6" width="8.5" bestFit="1" customWidth="1"/>
  </cols>
  <sheetData>
    <row r="1" spans="1:6" ht="14.4" x14ac:dyDescent="0.3">
      <c r="A1" s="49" t="s">
        <v>29</v>
      </c>
      <c r="B1" s="49" t="s">
        <v>30</v>
      </c>
      <c r="C1" s="49" t="s">
        <v>31</v>
      </c>
      <c r="D1" s="49" t="s">
        <v>32</v>
      </c>
      <c r="E1" s="49" t="s">
        <v>33</v>
      </c>
      <c r="F1" s="49" t="s">
        <v>34</v>
      </c>
    </row>
    <row r="2" spans="1:6" x14ac:dyDescent="0.25">
      <c r="A2" s="50" t="s">
        <v>38</v>
      </c>
      <c r="B2" s="50" t="s">
        <v>156</v>
      </c>
      <c r="C2" s="50" t="s">
        <v>40</v>
      </c>
      <c r="D2" s="50">
        <v>7</v>
      </c>
      <c r="E2" s="50">
        <v>3</v>
      </c>
      <c r="F2" s="50">
        <v>4</v>
      </c>
    </row>
    <row r="3" spans="1:6" x14ac:dyDescent="0.25">
      <c r="A3" s="50" t="s">
        <v>38</v>
      </c>
      <c r="B3" s="50" t="s">
        <v>210</v>
      </c>
      <c r="C3" s="50" t="s">
        <v>133</v>
      </c>
      <c r="D3" s="50">
        <v>14</v>
      </c>
      <c r="E3" s="50">
        <v>12</v>
      </c>
      <c r="F3" s="50">
        <v>2</v>
      </c>
    </row>
    <row r="4" spans="1:6" x14ac:dyDescent="0.25">
      <c r="A4" s="50" t="s">
        <v>44</v>
      </c>
      <c r="B4" s="50" t="s">
        <v>225</v>
      </c>
      <c r="C4" s="50" t="s">
        <v>483</v>
      </c>
      <c r="D4" s="50">
        <v>6</v>
      </c>
      <c r="E4" s="50">
        <v>4</v>
      </c>
      <c r="F4" s="50">
        <v>2</v>
      </c>
    </row>
    <row r="5" spans="1:6" x14ac:dyDescent="0.25">
      <c r="A5" s="50" t="s">
        <v>38</v>
      </c>
      <c r="B5" s="50" t="s">
        <v>281</v>
      </c>
      <c r="C5" s="50" t="s">
        <v>102</v>
      </c>
      <c r="D5" s="50">
        <v>2</v>
      </c>
      <c r="E5" s="50">
        <v>3</v>
      </c>
      <c r="F5" s="50">
        <v>-1</v>
      </c>
    </row>
    <row r="6" spans="1:6" x14ac:dyDescent="0.25">
      <c r="A6" s="50" t="s">
        <v>38</v>
      </c>
      <c r="B6" s="50" t="s">
        <v>232</v>
      </c>
      <c r="C6" s="50" t="s">
        <v>43</v>
      </c>
      <c r="D6" s="50">
        <v>1</v>
      </c>
      <c r="E6" s="50">
        <v>3</v>
      </c>
      <c r="F6" s="50">
        <v>-2</v>
      </c>
    </row>
    <row r="7" spans="1:6" x14ac:dyDescent="0.25">
      <c r="A7" s="50" t="s">
        <v>38</v>
      </c>
      <c r="B7" s="50" t="s">
        <v>554</v>
      </c>
      <c r="C7" s="50" t="s">
        <v>108</v>
      </c>
      <c r="D7" s="50">
        <v>7</v>
      </c>
      <c r="E7" s="50">
        <v>4</v>
      </c>
      <c r="F7" s="50">
        <v>3</v>
      </c>
    </row>
    <row r="8" spans="1:6" x14ac:dyDescent="0.25">
      <c r="A8" s="50" t="s">
        <v>38</v>
      </c>
      <c r="B8" s="50" t="s">
        <v>174</v>
      </c>
      <c r="C8" s="50" t="s">
        <v>62</v>
      </c>
      <c r="D8" s="50">
        <v>10</v>
      </c>
      <c r="E8" s="50">
        <v>13</v>
      </c>
      <c r="F8" s="50">
        <v>-3</v>
      </c>
    </row>
    <row r="9" spans="1:6" x14ac:dyDescent="0.25">
      <c r="A9" s="50" t="s">
        <v>38</v>
      </c>
      <c r="B9" s="50" t="s">
        <v>254</v>
      </c>
      <c r="C9" s="50" t="s">
        <v>104</v>
      </c>
      <c r="D9" s="50">
        <v>15</v>
      </c>
      <c r="E9" s="50">
        <v>17</v>
      </c>
      <c r="F9" s="50">
        <v>-2</v>
      </c>
    </row>
    <row r="10" spans="1:6" x14ac:dyDescent="0.25">
      <c r="A10" s="50" t="s">
        <v>44</v>
      </c>
      <c r="B10" s="50" t="s">
        <v>178</v>
      </c>
      <c r="C10" s="50" t="s">
        <v>62</v>
      </c>
      <c r="D10" s="50">
        <v>16</v>
      </c>
      <c r="E10" s="50">
        <v>17</v>
      </c>
      <c r="F10" s="50">
        <v>-1</v>
      </c>
    </row>
    <row r="11" spans="1:6" x14ac:dyDescent="0.25">
      <c r="A11" s="50" t="s">
        <v>38</v>
      </c>
      <c r="B11" s="50" t="s">
        <v>424</v>
      </c>
      <c r="C11" s="50" t="s">
        <v>98</v>
      </c>
      <c r="D11" s="50">
        <v>8</v>
      </c>
      <c r="E11" s="50">
        <v>6</v>
      </c>
      <c r="F11" s="50">
        <v>2</v>
      </c>
    </row>
    <row r="12" spans="1:6" x14ac:dyDescent="0.25">
      <c r="A12" s="50" t="s">
        <v>38</v>
      </c>
      <c r="B12" s="50" t="s">
        <v>119</v>
      </c>
      <c r="C12" s="50" t="s">
        <v>69</v>
      </c>
      <c r="D12" s="50">
        <v>1</v>
      </c>
      <c r="E12" s="50">
        <v>4</v>
      </c>
      <c r="F12" s="50">
        <v>-3</v>
      </c>
    </row>
    <row r="13" spans="1:6" x14ac:dyDescent="0.25">
      <c r="A13" s="50" t="s">
        <v>38</v>
      </c>
      <c r="B13" s="50" t="s">
        <v>261</v>
      </c>
      <c r="C13" s="50" t="s">
        <v>108</v>
      </c>
      <c r="D13" s="50">
        <v>11</v>
      </c>
      <c r="E13" s="50">
        <v>11</v>
      </c>
      <c r="F13" s="50">
        <v>0</v>
      </c>
    </row>
    <row r="14" spans="1:6" x14ac:dyDescent="0.25">
      <c r="A14" s="50" t="s">
        <v>49</v>
      </c>
      <c r="B14" s="50" t="s">
        <v>401</v>
      </c>
      <c r="C14" s="50" t="s">
        <v>41</v>
      </c>
      <c r="D14" s="50">
        <v>17</v>
      </c>
      <c r="E14" s="50">
        <v>25</v>
      </c>
      <c r="F14" s="50">
        <v>-8</v>
      </c>
    </row>
    <row r="15" spans="1:6" x14ac:dyDescent="0.25">
      <c r="A15" s="50" t="s">
        <v>38</v>
      </c>
      <c r="B15" s="50" t="s">
        <v>157</v>
      </c>
      <c r="C15" s="50" t="s">
        <v>483</v>
      </c>
      <c r="D15" s="50">
        <v>4</v>
      </c>
      <c r="E15" s="50">
        <v>4</v>
      </c>
      <c r="F15" s="50">
        <v>0</v>
      </c>
    </row>
    <row r="16" spans="1:6" x14ac:dyDescent="0.25">
      <c r="A16" s="50" t="s">
        <v>35</v>
      </c>
      <c r="B16" s="50" t="s">
        <v>601</v>
      </c>
      <c r="C16" s="50" t="s">
        <v>46</v>
      </c>
      <c r="D16" s="50">
        <v>1</v>
      </c>
      <c r="E16" s="50">
        <v>1</v>
      </c>
      <c r="F16" s="50">
        <v>0</v>
      </c>
    </row>
    <row r="17" spans="1:6" x14ac:dyDescent="0.25">
      <c r="A17" s="50" t="s">
        <v>38</v>
      </c>
      <c r="B17" s="50" t="s">
        <v>557</v>
      </c>
      <c r="C17" s="50" t="s">
        <v>490</v>
      </c>
      <c r="D17" s="50">
        <v>5</v>
      </c>
      <c r="E17" s="50">
        <v>4</v>
      </c>
      <c r="F17" s="50">
        <v>1</v>
      </c>
    </row>
    <row r="18" spans="1:6" x14ac:dyDescent="0.25">
      <c r="A18" s="50" t="s">
        <v>38</v>
      </c>
      <c r="B18" s="50" t="s">
        <v>136</v>
      </c>
      <c r="C18" s="50" t="s">
        <v>96</v>
      </c>
      <c r="D18" s="50">
        <v>9</v>
      </c>
      <c r="E18" s="50">
        <v>9</v>
      </c>
      <c r="F18" s="50">
        <v>0</v>
      </c>
    </row>
    <row r="19" spans="1:6" x14ac:dyDescent="0.25">
      <c r="A19" s="50" t="s">
        <v>35</v>
      </c>
      <c r="B19" s="50" t="s">
        <v>506</v>
      </c>
      <c r="C19" s="50" t="s">
        <v>98</v>
      </c>
      <c r="D19" s="50">
        <v>10</v>
      </c>
      <c r="E19" s="50">
        <v>9</v>
      </c>
      <c r="F19" s="50">
        <v>1</v>
      </c>
    </row>
    <row r="20" spans="1:6" x14ac:dyDescent="0.25">
      <c r="A20" s="50" t="s">
        <v>49</v>
      </c>
      <c r="B20" s="50" t="s">
        <v>101</v>
      </c>
      <c r="C20" s="50" t="s">
        <v>102</v>
      </c>
      <c r="D20" s="50">
        <v>16</v>
      </c>
      <c r="E20" s="50">
        <v>14</v>
      </c>
      <c r="F20" s="50">
        <v>2</v>
      </c>
    </row>
    <row r="21" spans="1:6" x14ac:dyDescent="0.25">
      <c r="A21" s="50" t="s">
        <v>44</v>
      </c>
      <c r="B21" s="50" t="s">
        <v>94</v>
      </c>
      <c r="C21" s="50" t="s">
        <v>133</v>
      </c>
      <c r="D21" s="50">
        <v>4</v>
      </c>
      <c r="E21" s="50">
        <v>7</v>
      </c>
      <c r="F21" s="50">
        <v>-3</v>
      </c>
    </row>
    <row r="22" spans="1:6" x14ac:dyDescent="0.25">
      <c r="A22" s="50" t="s">
        <v>44</v>
      </c>
      <c r="B22" s="50" t="s">
        <v>443</v>
      </c>
      <c r="C22" s="50" t="s">
        <v>67</v>
      </c>
      <c r="D22" s="50">
        <v>1</v>
      </c>
      <c r="E22" s="50">
        <v>5</v>
      </c>
      <c r="F22" s="50">
        <v>-4</v>
      </c>
    </row>
    <row r="23" spans="1:6" x14ac:dyDescent="0.25">
      <c r="A23" s="50" t="s">
        <v>35</v>
      </c>
      <c r="B23" s="50" t="s">
        <v>645</v>
      </c>
      <c r="C23" s="50" t="s">
        <v>484</v>
      </c>
      <c r="D23" s="50">
        <v>1</v>
      </c>
      <c r="E23" s="50">
        <v>1</v>
      </c>
      <c r="F23" s="50">
        <v>0</v>
      </c>
    </row>
    <row r="24" spans="1:6" x14ac:dyDescent="0.25">
      <c r="A24" s="50" t="s">
        <v>44</v>
      </c>
      <c r="B24" s="50" t="s">
        <v>496</v>
      </c>
      <c r="C24" s="50" t="s">
        <v>40</v>
      </c>
      <c r="D24" s="50">
        <v>9</v>
      </c>
      <c r="E24" s="50">
        <v>11</v>
      </c>
      <c r="F24" s="50">
        <v>-2</v>
      </c>
    </row>
    <row r="25" spans="1:6" x14ac:dyDescent="0.25">
      <c r="A25" s="50" t="s">
        <v>38</v>
      </c>
      <c r="B25" s="50" t="s">
        <v>407</v>
      </c>
      <c r="C25" s="50" t="s">
        <v>69</v>
      </c>
      <c r="D25" s="50">
        <v>5</v>
      </c>
      <c r="E25" s="50">
        <v>6</v>
      </c>
      <c r="F25" s="50">
        <v>-1</v>
      </c>
    </row>
    <row r="26" spans="1:6" x14ac:dyDescent="0.25">
      <c r="A26" s="50" t="s">
        <v>44</v>
      </c>
      <c r="B26" s="50" t="s">
        <v>366</v>
      </c>
      <c r="C26" s="50" t="s">
        <v>67</v>
      </c>
      <c r="D26" s="50">
        <v>8</v>
      </c>
      <c r="E26" s="50">
        <v>15</v>
      </c>
      <c r="F26" s="50">
        <v>-7</v>
      </c>
    </row>
    <row r="27" spans="1:6" x14ac:dyDescent="0.25">
      <c r="A27" s="50" t="s">
        <v>38</v>
      </c>
      <c r="B27" s="50" t="s">
        <v>555</v>
      </c>
      <c r="C27" s="50" t="s">
        <v>69</v>
      </c>
      <c r="D27" s="50">
        <v>5</v>
      </c>
      <c r="E27" s="50">
        <v>4</v>
      </c>
      <c r="F27" s="50">
        <v>1</v>
      </c>
    </row>
    <row r="28" spans="1:6" x14ac:dyDescent="0.25">
      <c r="A28" s="50" t="s">
        <v>35</v>
      </c>
      <c r="B28" s="50" t="s">
        <v>604</v>
      </c>
      <c r="C28" s="50" t="s">
        <v>490</v>
      </c>
      <c r="D28" s="50">
        <v>1</v>
      </c>
      <c r="E28" s="50">
        <v>1</v>
      </c>
      <c r="F28" s="50">
        <v>0</v>
      </c>
    </row>
    <row r="29" spans="1:6" x14ac:dyDescent="0.25">
      <c r="A29" s="50" t="s">
        <v>44</v>
      </c>
      <c r="B29" s="50" t="s">
        <v>294</v>
      </c>
      <c r="C29" s="50" t="s">
        <v>46</v>
      </c>
      <c r="D29" s="50">
        <v>13</v>
      </c>
      <c r="E29" s="50">
        <v>14</v>
      </c>
      <c r="F29" s="50">
        <v>-1</v>
      </c>
    </row>
    <row r="30" spans="1:6" x14ac:dyDescent="0.25">
      <c r="A30" s="50" t="s">
        <v>44</v>
      </c>
      <c r="B30" s="50" t="s">
        <v>578</v>
      </c>
      <c r="C30" s="50" t="s">
        <v>484</v>
      </c>
      <c r="D30" s="50">
        <v>7</v>
      </c>
      <c r="E30" s="50">
        <v>3</v>
      </c>
      <c r="F30" s="50">
        <v>4</v>
      </c>
    </row>
    <row r="31" spans="1:6" x14ac:dyDescent="0.25">
      <c r="A31" s="50" t="s">
        <v>44</v>
      </c>
      <c r="B31" s="50" t="s">
        <v>548</v>
      </c>
      <c r="C31" s="50" t="s">
        <v>98</v>
      </c>
      <c r="D31" s="50">
        <v>5</v>
      </c>
      <c r="E31" s="50">
        <v>5</v>
      </c>
      <c r="F31" s="50">
        <v>0</v>
      </c>
    </row>
    <row r="32" spans="1:6" x14ac:dyDescent="0.25">
      <c r="A32" s="50" t="s">
        <v>49</v>
      </c>
      <c r="B32" s="50" t="s">
        <v>500</v>
      </c>
      <c r="C32" s="50" t="s">
        <v>43</v>
      </c>
      <c r="D32" s="50">
        <v>8</v>
      </c>
      <c r="E32" s="50">
        <v>11</v>
      </c>
      <c r="F32" s="50">
        <v>-3</v>
      </c>
    </row>
    <row r="33" spans="1:6" x14ac:dyDescent="0.25">
      <c r="A33" s="50" t="s">
        <v>38</v>
      </c>
      <c r="B33" s="50" t="s">
        <v>130</v>
      </c>
      <c r="C33" s="50" t="s">
        <v>104</v>
      </c>
      <c r="D33" s="50">
        <v>1</v>
      </c>
      <c r="E33" s="50">
        <v>3</v>
      </c>
      <c r="F33" s="50">
        <v>-2</v>
      </c>
    </row>
    <row r="34" spans="1:6" x14ac:dyDescent="0.25">
      <c r="A34" s="50" t="s">
        <v>44</v>
      </c>
      <c r="B34" s="50" t="s">
        <v>226</v>
      </c>
      <c r="C34" s="50" t="s">
        <v>108</v>
      </c>
      <c r="D34" s="50">
        <v>13</v>
      </c>
      <c r="E34" s="50">
        <v>10</v>
      </c>
      <c r="F34" s="50">
        <v>3</v>
      </c>
    </row>
    <row r="35" spans="1:6" x14ac:dyDescent="0.25">
      <c r="A35" s="50" t="s">
        <v>38</v>
      </c>
      <c r="B35" s="50" t="s">
        <v>145</v>
      </c>
      <c r="C35" s="50" t="s">
        <v>133</v>
      </c>
      <c r="D35" s="50">
        <v>1</v>
      </c>
      <c r="E35" s="50">
        <v>3</v>
      </c>
      <c r="F35" s="50">
        <v>-2</v>
      </c>
    </row>
    <row r="36" spans="1:6" x14ac:dyDescent="0.25">
      <c r="A36" s="50" t="s">
        <v>38</v>
      </c>
      <c r="B36" s="50" t="s">
        <v>348</v>
      </c>
      <c r="C36" s="50" t="s">
        <v>484</v>
      </c>
      <c r="D36" s="50">
        <v>6</v>
      </c>
      <c r="E36" s="50">
        <v>1</v>
      </c>
      <c r="F36" s="50">
        <v>5</v>
      </c>
    </row>
    <row r="37" spans="1:6" x14ac:dyDescent="0.25">
      <c r="A37" s="50" t="s">
        <v>38</v>
      </c>
      <c r="B37" s="50" t="s">
        <v>337</v>
      </c>
      <c r="C37" s="50" t="s">
        <v>133</v>
      </c>
      <c r="D37" s="50">
        <v>4</v>
      </c>
      <c r="E37" s="50">
        <v>8</v>
      </c>
      <c r="F37" s="50">
        <v>-4</v>
      </c>
    </row>
    <row r="38" spans="1:6" x14ac:dyDescent="0.25">
      <c r="A38" s="50" t="s">
        <v>44</v>
      </c>
      <c r="B38" s="50" t="s">
        <v>596</v>
      </c>
      <c r="C38" s="50" t="s">
        <v>490</v>
      </c>
      <c r="D38" s="50">
        <v>6</v>
      </c>
      <c r="E38" s="50">
        <v>2</v>
      </c>
      <c r="F38" s="50">
        <v>4</v>
      </c>
    </row>
    <row r="39" spans="1:6" x14ac:dyDescent="0.25">
      <c r="A39" s="50" t="s">
        <v>44</v>
      </c>
      <c r="B39" s="50" t="s">
        <v>415</v>
      </c>
      <c r="C39" s="50" t="s">
        <v>67</v>
      </c>
      <c r="D39" s="50">
        <v>7</v>
      </c>
      <c r="E39" s="50">
        <v>4</v>
      </c>
      <c r="F39" s="50">
        <v>3</v>
      </c>
    </row>
    <row r="40" spans="1:6" x14ac:dyDescent="0.25">
      <c r="A40" s="50" t="s">
        <v>35</v>
      </c>
      <c r="B40" s="50" t="s">
        <v>264</v>
      </c>
      <c r="C40" s="50" t="s">
        <v>98</v>
      </c>
      <c r="D40" s="50">
        <v>1</v>
      </c>
      <c r="E40" s="50">
        <v>1</v>
      </c>
      <c r="F40" s="50">
        <v>0</v>
      </c>
    </row>
    <row r="41" spans="1:6" x14ac:dyDescent="0.25">
      <c r="A41" s="50" t="s">
        <v>49</v>
      </c>
      <c r="B41" s="50" t="s">
        <v>190</v>
      </c>
      <c r="C41" s="50" t="s">
        <v>108</v>
      </c>
      <c r="D41" s="50">
        <v>25</v>
      </c>
      <c r="E41" s="50">
        <v>29</v>
      </c>
      <c r="F41" s="50">
        <v>-4</v>
      </c>
    </row>
    <row r="42" spans="1:6" x14ac:dyDescent="0.25">
      <c r="A42" s="50" t="s">
        <v>44</v>
      </c>
      <c r="B42" s="50" t="s">
        <v>227</v>
      </c>
      <c r="C42" s="50" t="s">
        <v>37</v>
      </c>
      <c r="D42" s="50">
        <v>15</v>
      </c>
      <c r="E42" s="50">
        <v>12</v>
      </c>
      <c r="F42" s="50">
        <v>3</v>
      </c>
    </row>
    <row r="43" spans="1:6" x14ac:dyDescent="0.25">
      <c r="A43" s="50" t="s">
        <v>44</v>
      </c>
      <c r="B43" s="50" t="s">
        <v>529</v>
      </c>
      <c r="C43" s="50" t="s">
        <v>483</v>
      </c>
      <c r="D43" s="50">
        <v>8</v>
      </c>
      <c r="E43" s="50">
        <v>6</v>
      </c>
      <c r="F43" s="50">
        <v>2</v>
      </c>
    </row>
    <row r="44" spans="1:6" x14ac:dyDescent="0.25">
      <c r="A44" s="50" t="s">
        <v>44</v>
      </c>
      <c r="B44" s="50" t="s">
        <v>360</v>
      </c>
      <c r="C44" s="50" t="s">
        <v>104</v>
      </c>
      <c r="D44" s="50">
        <v>8</v>
      </c>
      <c r="E44" s="50">
        <v>8</v>
      </c>
      <c r="F44" s="50">
        <v>0</v>
      </c>
    </row>
    <row r="45" spans="1:6" x14ac:dyDescent="0.25">
      <c r="A45" s="50" t="s">
        <v>49</v>
      </c>
      <c r="B45" s="50" t="s">
        <v>216</v>
      </c>
      <c r="C45" s="50" t="s">
        <v>102</v>
      </c>
      <c r="D45" s="50">
        <v>17</v>
      </c>
      <c r="E45" s="50">
        <v>16</v>
      </c>
      <c r="F45" s="50">
        <v>1</v>
      </c>
    </row>
    <row r="46" spans="1:6" x14ac:dyDescent="0.25">
      <c r="A46" s="50" t="s">
        <v>44</v>
      </c>
      <c r="B46" s="50" t="s">
        <v>386</v>
      </c>
      <c r="C46" s="50" t="s">
        <v>108</v>
      </c>
      <c r="D46" s="50">
        <v>6</v>
      </c>
      <c r="E46" s="50">
        <v>5</v>
      </c>
      <c r="F46" s="50">
        <v>1</v>
      </c>
    </row>
    <row r="47" spans="1:6" x14ac:dyDescent="0.25">
      <c r="A47" s="50" t="s">
        <v>38</v>
      </c>
      <c r="B47" s="50" t="s">
        <v>346</v>
      </c>
      <c r="C47" s="50" t="s">
        <v>98</v>
      </c>
      <c r="D47" s="50">
        <v>5</v>
      </c>
      <c r="E47" s="50">
        <v>7</v>
      </c>
      <c r="F47" s="50">
        <v>-2</v>
      </c>
    </row>
    <row r="48" spans="1:6" x14ac:dyDescent="0.25">
      <c r="A48" s="50" t="s">
        <v>35</v>
      </c>
      <c r="B48" s="50" t="s">
        <v>486</v>
      </c>
      <c r="C48" s="50" t="s">
        <v>43</v>
      </c>
      <c r="D48" s="50">
        <v>7</v>
      </c>
      <c r="E48" s="50">
        <v>12</v>
      </c>
      <c r="F48" s="50">
        <v>-5</v>
      </c>
    </row>
    <row r="49" spans="1:6" x14ac:dyDescent="0.25">
      <c r="A49" s="50" t="s">
        <v>44</v>
      </c>
      <c r="B49" s="50" t="s">
        <v>495</v>
      </c>
      <c r="C49" s="50" t="s">
        <v>133</v>
      </c>
      <c r="D49" s="50">
        <v>7</v>
      </c>
      <c r="E49" s="50">
        <v>11</v>
      </c>
      <c r="F49" s="50">
        <v>-4</v>
      </c>
    </row>
    <row r="50" spans="1:6" x14ac:dyDescent="0.25">
      <c r="A50" s="50" t="s">
        <v>44</v>
      </c>
      <c r="B50" s="50" t="s">
        <v>103</v>
      </c>
      <c r="C50" s="50" t="s">
        <v>104</v>
      </c>
      <c r="D50" s="50">
        <v>14</v>
      </c>
      <c r="E50" s="50">
        <v>16</v>
      </c>
      <c r="F50" s="50">
        <v>-2</v>
      </c>
    </row>
    <row r="51" spans="1:6" x14ac:dyDescent="0.25">
      <c r="A51" s="50" t="s">
        <v>35</v>
      </c>
      <c r="B51" s="50" t="s">
        <v>117</v>
      </c>
      <c r="C51" s="50" t="s">
        <v>96</v>
      </c>
      <c r="D51" s="50">
        <v>1</v>
      </c>
      <c r="E51" s="50">
        <v>1</v>
      </c>
      <c r="F51" s="50">
        <v>0</v>
      </c>
    </row>
    <row r="52" spans="1:6" x14ac:dyDescent="0.25">
      <c r="A52" s="50" t="s">
        <v>44</v>
      </c>
      <c r="B52" s="50" t="s">
        <v>162</v>
      </c>
      <c r="C52" s="50" t="s">
        <v>40</v>
      </c>
      <c r="D52" s="50">
        <v>3</v>
      </c>
      <c r="E52" s="50">
        <v>8</v>
      </c>
      <c r="F52" s="50">
        <v>-5</v>
      </c>
    </row>
    <row r="53" spans="1:6" x14ac:dyDescent="0.25">
      <c r="A53" s="50" t="s">
        <v>44</v>
      </c>
      <c r="B53" s="50" t="s">
        <v>126</v>
      </c>
      <c r="C53" s="50" t="s">
        <v>59</v>
      </c>
      <c r="D53" s="50">
        <v>8</v>
      </c>
      <c r="E53" s="50">
        <v>7</v>
      </c>
      <c r="F53" s="50">
        <v>1</v>
      </c>
    </row>
    <row r="54" spans="1:6" x14ac:dyDescent="0.25">
      <c r="A54" s="50" t="s">
        <v>44</v>
      </c>
      <c r="B54" s="50" t="s">
        <v>444</v>
      </c>
      <c r="C54" s="50" t="s">
        <v>484</v>
      </c>
      <c r="D54" s="50">
        <v>5</v>
      </c>
      <c r="E54" s="50">
        <v>5</v>
      </c>
      <c r="F54" s="50">
        <v>0</v>
      </c>
    </row>
    <row r="55" spans="1:6" x14ac:dyDescent="0.25">
      <c r="A55" s="50" t="s">
        <v>38</v>
      </c>
      <c r="B55" s="50" t="s">
        <v>619</v>
      </c>
      <c r="C55" s="50" t="s">
        <v>84</v>
      </c>
      <c r="D55" s="50">
        <v>1</v>
      </c>
      <c r="E55" s="50">
        <v>1</v>
      </c>
      <c r="F55" s="50">
        <v>0</v>
      </c>
    </row>
    <row r="56" spans="1:6" x14ac:dyDescent="0.25">
      <c r="A56" s="50" t="s">
        <v>44</v>
      </c>
      <c r="B56" s="50" t="s">
        <v>149</v>
      </c>
      <c r="C56" s="50" t="s">
        <v>40</v>
      </c>
      <c r="D56" s="50">
        <v>6</v>
      </c>
      <c r="E56" s="50">
        <v>8</v>
      </c>
      <c r="F56" s="50">
        <v>-2</v>
      </c>
    </row>
    <row r="57" spans="1:6" x14ac:dyDescent="0.25">
      <c r="A57" s="50" t="s">
        <v>38</v>
      </c>
      <c r="B57" s="50" t="s">
        <v>120</v>
      </c>
      <c r="C57" s="50" t="s">
        <v>37</v>
      </c>
      <c r="D57" s="50">
        <v>9</v>
      </c>
      <c r="E57" s="50">
        <v>6</v>
      </c>
      <c r="F57" s="50">
        <v>3</v>
      </c>
    </row>
    <row r="58" spans="1:6" x14ac:dyDescent="0.25">
      <c r="A58" s="50" t="s">
        <v>38</v>
      </c>
      <c r="B58" s="50" t="s">
        <v>342</v>
      </c>
      <c r="C58" s="50" t="s">
        <v>59</v>
      </c>
      <c r="D58" s="50">
        <v>8</v>
      </c>
      <c r="E58" s="50">
        <v>6</v>
      </c>
      <c r="F58" s="50">
        <v>2</v>
      </c>
    </row>
    <row r="59" spans="1:6" x14ac:dyDescent="0.25">
      <c r="A59" s="50" t="s">
        <v>44</v>
      </c>
      <c r="B59" s="50" t="s">
        <v>74</v>
      </c>
      <c r="C59" s="50" t="s">
        <v>46</v>
      </c>
      <c r="D59" s="50">
        <v>13</v>
      </c>
      <c r="E59" s="50">
        <v>12</v>
      </c>
      <c r="F59" s="50">
        <v>1</v>
      </c>
    </row>
    <row r="60" spans="1:6" x14ac:dyDescent="0.25">
      <c r="A60" s="50" t="s">
        <v>44</v>
      </c>
      <c r="B60" s="50" t="s">
        <v>515</v>
      </c>
      <c r="C60" s="50" t="s">
        <v>102</v>
      </c>
      <c r="D60" s="50">
        <v>6</v>
      </c>
      <c r="E60" s="50">
        <v>8</v>
      </c>
      <c r="F60" s="50">
        <v>-2</v>
      </c>
    </row>
    <row r="61" spans="1:6" x14ac:dyDescent="0.25">
      <c r="A61" s="50" t="s">
        <v>44</v>
      </c>
      <c r="B61" s="50" t="s">
        <v>163</v>
      </c>
      <c r="C61" s="50" t="s">
        <v>40</v>
      </c>
      <c r="D61" s="50">
        <v>17</v>
      </c>
      <c r="E61" s="50">
        <v>20</v>
      </c>
      <c r="F61" s="50">
        <v>-3</v>
      </c>
    </row>
    <row r="62" spans="1:6" x14ac:dyDescent="0.25">
      <c r="A62" s="50" t="s">
        <v>38</v>
      </c>
      <c r="B62" s="50" t="s">
        <v>377</v>
      </c>
      <c r="C62" s="50" t="s">
        <v>41</v>
      </c>
      <c r="D62" s="50">
        <v>6</v>
      </c>
      <c r="E62" s="50">
        <v>3</v>
      </c>
      <c r="F62" s="50">
        <v>3</v>
      </c>
    </row>
    <row r="63" spans="1:6" x14ac:dyDescent="0.25">
      <c r="A63" s="50" t="s">
        <v>38</v>
      </c>
      <c r="B63" s="50" t="s">
        <v>131</v>
      </c>
      <c r="C63" s="50" t="s">
        <v>104</v>
      </c>
      <c r="D63" s="50">
        <v>12</v>
      </c>
      <c r="E63" s="50">
        <v>12</v>
      </c>
      <c r="F63" s="50">
        <v>0</v>
      </c>
    </row>
    <row r="64" spans="1:6" x14ac:dyDescent="0.25">
      <c r="A64" s="50" t="s">
        <v>44</v>
      </c>
      <c r="B64" s="50" t="s">
        <v>374</v>
      </c>
      <c r="C64" s="50" t="s">
        <v>40</v>
      </c>
      <c r="D64" s="50">
        <v>6</v>
      </c>
      <c r="E64" s="50">
        <v>6</v>
      </c>
      <c r="F64" s="50">
        <v>0</v>
      </c>
    </row>
    <row r="65" spans="1:6" x14ac:dyDescent="0.25">
      <c r="A65" s="50" t="s">
        <v>44</v>
      </c>
      <c r="B65" s="50" t="s">
        <v>95</v>
      </c>
      <c r="C65" s="50" t="s">
        <v>96</v>
      </c>
      <c r="D65" s="50">
        <v>7</v>
      </c>
      <c r="E65" s="50">
        <v>6</v>
      </c>
      <c r="F65" s="50">
        <v>1</v>
      </c>
    </row>
    <row r="66" spans="1:6" x14ac:dyDescent="0.25">
      <c r="A66" s="50" t="s">
        <v>44</v>
      </c>
      <c r="B66" s="50" t="s">
        <v>549</v>
      </c>
      <c r="C66" s="50" t="s">
        <v>102</v>
      </c>
      <c r="D66" s="50">
        <v>7</v>
      </c>
      <c r="E66" s="50">
        <v>5</v>
      </c>
      <c r="F66" s="50">
        <v>2</v>
      </c>
    </row>
    <row r="67" spans="1:6" x14ac:dyDescent="0.25">
      <c r="A67" s="50" t="s">
        <v>44</v>
      </c>
      <c r="B67" s="50" t="s">
        <v>509</v>
      </c>
      <c r="C67" s="50" t="s">
        <v>46</v>
      </c>
      <c r="D67" s="50">
        <v>6</v>
      </c>
      <c r="E67" s="50">
        <v>9</v>
      </c>
      <c r="F67" s="50">
        <v>-3</v>
      </c>
    </row>
    <row r="68" spans="1:6" x14ac:dyDescent="0.25">
      <c r="A68" s="50" t="s">
        <v>35</v>
      </c>
      <c r="B68" s="50" t="s">
        <v>646</v>
      </c>
      <c r="C68" s="50" t="s">
        <v>484</v>
      </c>
      <c r="D68" s="50">
        <v>1</v>
      </c>
      <c r="E68" s="50">
        <v>1</v>
      </c>
      <c r="F68" s="50">
        <v>0</v>
      </c>
    </row>
    <row r="69" spans="1:6" x14ac:dyDescent="0.25">
      <c r="A69" s="50" t="s">
        <v>38</v>
      </c>
      <c r="B69" s="50" t="s">
        <v>556</v>
      </c>
      <c r="C69" s="50" t="s">
        <v>108</v>
      </c>
      <c r="D69" s="50">
        <v>1</v>
      </c>
      <c r="E69" s="50">
        <v>4</v>
      </c>
      <c r="F69" s="50">
        <v>-3</v>
      </c>
    </row>
    <row r="70" spans="1:6" x14ac:dyDescent="0.25">
      <c r="A70" s="50" t="s">
        <v>38</v>
      </c>
      <c r="B70" s="50" t="s">
        <v>590</v>
      </c>
      <c r="C70" s="50" t="s">
        <v>490</v>
      </c>
      <c r="D70" s="50">
        <v>1</v>
      </c>
      <c r="E70" s="50">
        <v>2</v>
      </c>
      <c r="F70" s="50">
        <v>-1</v>
      </c>
    </row>
    <row r="71" spans="1:6" x14ac:dyDescent="0.25">
      <c r="A71" s="50" t="s">
        <v>44</v>
      </c>
      <c r="B71" s="50" t="s">
        <v>595</v>
      </c>
      <c r="C71" s="50" t="s">
        <v>483</v>
      </c>
      <c r="D71" s="50">
        <v>2</v>
      </c>
      <c r="E71" s="50">
        <v>2</v>
      </c>
      <c r="F71" s="50">
        <v>0</v>
      </c>
    </row>
    <row r="72" spans="1:6" x14ac:dyDescent="0.25">
      <c r="A72" s="50" t="s">
        <v>49</v>
      </c>
      <c r="B72" s="50" t="s">
        <v>422</v>
      </c>
      <c r="C72" s="50" t="s">
        <v>102</v>
      </c>
      <c r="D72" s="50">
        <v>6</v>
      </c>
      <c r="E72" s="50">
        <v>9</v>
      </c>
      <c r="F72" s="50">
        <v>-3</v>
      </c>
    </row>
    <row r="73" spans="1:6" x14ac:dyDescent="0.25">
      <c r="A73" s="50" t="s">
        <v>44</v>
      </c>
      <c r="B73" s="50" t="s">
        <v>127</v>
      </c>
      <c r="C73" s="50" t="s">
        <v>96</v>
      </c>
      <c r="D73" s="50">
        <v>14</v>
      </c>
      <c r="E73" s="50">
        <v>16</v>
      </c>
      <c r="F73" s="50">
        <v>-2</v>
      </c>
    </row>
    <row r="74" spans="1:6" x14ac:dyDescent="0.25">
      <c r="A74" s="50" t="s">
        <v>38</v>
      </c>
      <c r="B74" s="50" t="s">
        <v>536</v>
      </c>
      <c r="C74" s="50" t="s">
        <v>484</v>
      </c>
      <c r="D74" s="50">
        <v>10</v>
      </c>
      <c r="E74" s="50">
        <v>5</v>
      </c>
      <c r="F74" s="50">
        <v>5</v>
      </c>
    </row>
    <row r="75" spans="1:6" x14ac:dyDescent="0.25">
      <c r="A75" s="50" t="s">
        <v>44</v>
      </c>
      <c r="B75" s="50" t="s">
        <v>428</v>
      </c>
      <c r="C75" s="50" t="s">
        <v>133</v>
      </c>
      <c r="D75" s="50">
        <v>1</v>
      </c>
      <c r="E75" s="50">
        <v>1</v>
      </c>
      <c r="F75" s="50">
        <v>0</v>
      </c>
    </row>
    <row r="76" spans="1:6" x14ac:dyDescent="0.25">
      <c r="A76" s="50" t="s">
        <v>44</v>
      </c>
      <c r="B76" s="50" t="s">
        <v>647</v>
      </c>
      <c r="C76" s="50" t="s">
        <v>69</v>
      </c>
      <c r="D76" s="50">
        <v>1</v>
      </c>
      <c r="E76" s="50">
        <v>1</v>
      </c>
      <c r="F76" s="50">
        <v>0</v>
      </c>
    </row>
    <row r="77" spans="1:6" x14ac:dyDescent="0.25">
      <c r="A77" s="50" t="s">
        <v>38</v>
      </c>
      <c r="B77" s="50" t="s">
        <v>70</v>
      </c>
      <c r="C77" s="50" t="s">
        <v>46</v>
      </c>
      <c r="D77" s="50">
        <v>5</v>
      </c>
      <c r="E77" s="50">
        <v>7</v>
      </c>
      <c r="F77" s="50">
        <v>-2</v>
      </c>
    </row>
    <row r="78" spans="1:6" x14ac:dyDescent="0.25">
      <c r="A78" s="50" t="s">
        <v>38</v>
      </c>
      <c r="B78" s="50" t="s">
        <v>132</v>
      </c>
      <c r="C78" s="50" t="s">
        <v>104</v>
      </c>
      <c r="D78" s="50">
        <v>3</v>
      </c>
      <c r="E78" s="50">
        <v>5</v>
      </c>
      <c r="F78" s="50">
        <v>-2</v>
      </c>
    </row>
    <row r="79" spans="1:6" x14ac:dyDescent="0.25">
      <c r="A79" s="50" t="s">
        <v>49</v>
      </c>
      <c r="B79" s="50" t="s">
        <v>406</v>
      </c>
      <c r="C79" s="50" t="s">
        <v>133</v>
      </c>
      <c r="D79" s="50">
        <v>5</v>
      </c>
      <c r="E79" s="50">
        <v>6</v>
      </c>
      <c r="F79" s="50">
        <v>-1</v>
      </c>
    </row>
    <row r="80" spans="1:6" x14ac:dyDescent="0.25">
      <c r="A80" s="50" t="s">
        <v>38</v>
      </c>
      <c r="B80" s="50" t="s">
        <v>620</v>
      </c>
      <c r="C80" s="50" t="s">
        <v>54</v>
      </c>
      <c r="D80" s="50">
        <v>5</v>
      </c>
      <c r="E80" s="50">
        <v>1</v>
      </c>
      <c r="F80" s="50">
        <v>4</v>
      </c>
    </row>
    <row r="81" spans="1:6" x14ac:dyDescent="0.25">
      <c r="A81" s="50" t="s">
        <v>38</v>
      </c>
      <c r="B81" s="50" t="s">
        <v>158</v>
      </c>
      <c r="C81" s="50" t="s">
        <v>40</v>
      </c>
      <c r="D81" s="50">
        <v>7</v>
      </c>
      <c r="E81" s="50">
        <v>6</v>
      </c>
      <c r="F81" s="50">
        <v>1</v>
      </c>
    </row>
    <row r="82" spans="1:6" x14ac:dyDescent="0.25">
      <c r="A82" s="50" t="s">
        <v>38</v>
      </c>
      <c r="B82" s="50" t="s">
        <v>284</v>
      </c>
      <c r="C82" s="50" t="s">
        <v>40</v>
      </c>
      <c r="D82" s="50">
        <v>6</v>
      </c>
      <c r="E82" s="50">
        <v>12</v>
      </c>
      <c r="F82" s="50">
        <v>-6</v>
      </c>
    </row>
    <row r="83" spans="1:6" x14ac:dyDescent="0.25">
      <c r="A83" s="50" t="s">
        <v>44</v>
      </c>
      <c r="B83" s="50" t="s">
        <v>379</v>
      </c>
      <c r="C83" s="50" t="s">
        <v>40</v>
      </c>
      <c r="D83" s="50">
        <v>14</v>
      </c>
      <c r="E83" s="50">
        <v>21</v>
      </c>
      <c r="F83" s="50">
        <v>-7</v>
      </c>
    </row>
    <row r="84" spans="1:6" x14ac:dyDescent="0.25">
      <c r="A84" s="50" t="s">
        <v>49</v>
      </c>
      <c r="B84" s="50" t="s">
        <v>181</v>
      </c>
      <c r="C84" s="50" t="s">
        <v>62</v>
      </c>
      <c r="D84" s="50">
        <v>19</v>
      </c>
      <c r="E84" s="50">
        <v>21</v>
      </c>
      <c r="F84" s="50">
        <v>-2</v>
      </c>
    </row>
    <row r="85" spans="1:6" x14ac:dyDescent="0.25">
      <c r="A85" s="50" t="s">
        <v>44</v>
      </c>
      <c r="B85" s="50" t="s">
        <v>648</v>
      </c>
      <c r="C85" s="50" t="s">
        <v>104</v>
      </c>
      <c r="D85" s="50">
        <v>14</v>
      </c>
      <c r="E85" s="50">
        <v>19</v>
      </c>
      <c r="F85" s="50">
        <v>-5</v>
      </c>
    </row>
    <row r="86" spans="1:6" x14ac:dyDescent="0.25">
      <c r="A86" s="50" t="s">
        <v>38</v>
      </c>
      <c r="B86" s="50" t="s">
        <v>419</v>
      </c>
      <c r="C86" s="50" t="s">
        <v>104</v>
      </c>
      <c r="D86" s="50">
        <v>13</v>
      </c>
      <c r="E86" s="50">
        <v>14</v>
      </c>
      <c r="F86" s="50">
        <v>-1</v>
      </c>
    </row>
    <row r="87" spans="1:6" x14ac:dyDescent="0.25">
      <c r="A87" s="50" t="s">
        <v>44</v>
      </c>
      <c r="B87" s="50" t="s">
        <v>150</v>
      </c>
      <c r="C87" s="50" t="s">
        <v>96</v>
      </c>
      <c r="D87" s="50">
        <v>9</v>
      </c>
      <c r="E87" s="50">
        <v>13</v>
      </c>
      <c r="F87" s="50">
        <v>-4</v>
      </c>
    </row>
    <row r="88" spans="1:6" x14ac:dyDescent="0.25">
      <c r="A88" s="50" t="s">
        <v>44</v>
      </c>
      <c r="B88" s="50" t="s">
        <v>97</v>
      </c>
      <c r="C88" s="50" t="s">
        <v>483</v>
      </c>
      <c r="D88" s="50">
        <v>2</v>
      </c>
      <c r="E88" s="50">
        <v>4</v>
      </c>
      <c r="F88" s="50">
        <v>-2</v>
      </c>
    </row>
    <row r="89" spans="1:6" x14ac:dyDescent="0.25">
      <c r="A89" s="50" t="s">
        <v>49</v>
      </c>
      <c r="B89" s="50" t="s">
        <v>310</v>
      </c>
      <c r="C89" s="50" t="s">
        <v>98</v>
      </c>
      <c r="D89" s="50">
        <v>12</v>
      </c>
      <c r="E89" s="50">
        <v>10</v>
      </c>
      <c r="F89" s="50">
        <v>2</v>
      </c>
    </row>
    <row r="90" spans="1:6" x14ac:dyDescent="0.25">
      <c r="A90" s="50" t="s">
        <v>38</v>
      </c>
      <c r="B90" s="50" t="s">
        <v>290</v>
      </c>
      <c r="C90" s="50" t="s">
        <v>490</v>
      </c>
      <c r="D90" s="50">
        <v>4</v>
      </c>
      <c r="E90" s="50">
        <v>5</v>
      </c>
      <c r="F90" s="50">
        <v>-1</v>
      </c>
    </row>
    <row r="91" spans="1:6" x14ac:dyDescent="0.25">
      <c r="A91" s="50" t="s">
        <v>49</v>
      </c>
      <c r="B91" s="50" t="s">
        <v>482</v>
      </c>
      <c r="C91" s="50" t="s">
        <v>483</v>
      </c>
      <c r="D91" s="50">
        <v>18</v>
      </c>
      <c r="E91" s="50">
        <v>14</v>
      </c>
      <c r="F91" s="50">
        <v>4</v>
      </c>
    </row>
    <row r="92" spans="1:6" x14ac:dyDescent="0.25">
      <c r="A92" s="50" t="s">
        <v>44</v>
      </c>
      <c r="B92" s="50" t="s">
        <v>392</v>
      </c>
      <c r="C92" s="50" t="s">
        <v>490</v>
      </c>
      <c r="D92" s="50">
        <v>5</v>
      </c>
      <c r="E92" s="50">
        <v>2</v>
      </c>
      <c r="F92" s="50">
        <v>3</v>
      </c>
    </row>
    <row r="93" spans="1:6" x14ac:dyDescent="0.25">
      <c r="A93" s="50" t="s">
        <v>38</v>
      </c>
      <c r="B93" s="50" t="s">
        <v>382</v>
      </c>
      <c r="C93" s="50" t="s">
        <v>43</v>
      </c>
      <c r="D93" s="50">
        <v>7</v>
      </c>
      <c r="E93" s="50">
        <v>6</v>
      </c>
      <c r="F93" s="50">
        <v>1</v>
      </c>
    </row>
    <row r="94" spans="1:6" x14ac:dyDescent="0.25">
      <c r="A94" s="50" t="s">
        <v>49</v>
      </c>
      <c r="B94" s="50" t="s">
        <v>475</v>
      </c>
      <c r="C94" s="50" t="s">
        <v>40</v>
      </c>
      <c r="D94" s="50">
        <v>13</v>
      </c>
      <c r="E94" s="50">
        <v>16</v>
      </c>
      <c r="F94" s="50">
        <v>-3</v>
      </c>
    </row>
    <row r="95" spans="1:6" x14ac:dyDescent="0.25">
      <c r="A95" s="50" t="s">
        <v>44</v>
      </c>
      <c r="B95" s="50" t="s">
        <v>75</v>
      </c>
      <c r="C95" s="50" t="s">
        <v>46</v>
      </c>
      <c r="D95" s="50">
        <v>10</v>
      </c>
      <c r="E95" s="50">
        <v>12</v>
      </c>
      <c r="F95" s="50">
        <v>-2</v>
      </c>
    </row>
    <row r="96" spans="1:6" x14ac:dyDescent="0.25">
      <c r="A96" s="50" t="s">
        <v>44</v>
      </c>
      <c r="B96" s="50" t="s">
        <v>151</v>
      </c>
      <c r="C96" s="50" t="s">
        <v>133</v>
      </c>
      <c r="D96" s="50">
        <v>4</v>
      </c>
      <c r="E96" s="50">
        <v>4</v>
      </c>
      <c r="F96" s="50">
        <v>0</v>
      </c>
    </row>
    <row r="97" spans="1:6" x14ac:dyDescent="0.25">
      <c r="A97" s="50" t="s">
        <v>38</v>
      </c>
      <c r="B97" s="50" t="s">
        <v>301</v>
      </c>
      <c r="C97" s="50" t="s">
        <v>37</v>
      </c>
      <c r="D97" s="50">
        <v>5</v>
      </c>
      <c r="E97" s="50">
        <v>6</v>
      </c>
      <c r="F97" s="50">
        <v>-1</v>
      </c>
    </row>
    <row r="98" spans="1:6" x14ac:dyDescent="0.25">
      <c r="A98" s="50" t="s">
        <v>38</v>
      </c>
      <c r="B98" s="50" t="s">
        <v>649</v>
      </c>
      <c r="C98" s="50" t="s">
        <v>96</v>
      </c>
      <c r="D98" s="50">
        <v>5</v>
      </c>
      <c r="E98" s="50">
        <v>5</v>
      </c>
      <c r="F98" s="50">
        <v>0</v>
      </c>
    </row>
    <row r="99" spans="1:6" x14ac:dyDescent="0.25">
      <c r="A99" s="50" t="s">
        <v>38</v>
      </c>
      <c r="B99" s="50" t="s">
        <v>291</v>
      </c>
      <c r="C99" s="50" t="s">
        <v>46</v>
      </c>
      <c r="D99" s="50">
        <v>5</v>
      </c>
      <c r="E99" s="50">
        <v>8</v>
      </c>
      <c r="F99" s="50">
        <v>-3</v>
      </c>
    </row>
    <row r="100" spans="1:6" x14ac:dyDescent="0.25">
      <c r="A100" s="50" t="s">
        <v>49</v>
      </c>
      <c r="B100" s="50" t="s">
        <v>445</v>
      </c>
      <c r="C100" s="50" t="s">
        <v>484</v>
      </c>
      <c r="D100" s="50">
        <v>7</v>
      </c>
      <c r="E100" s="50">
        <v>10</v>
      </c>
      <c r="F100" s="50">
        <v>-3</v>
      </c>
    </row>
    <row r="101" spans="1:6" x14ac:dyDescent="0.25">
      <c r="A101" s="50" t="s">
        <v>49</v>
      </c>
      <c r="B101" s="50" t="s">
        <v>526</v>
      </c>
      <c r="C101" s="50" t="s">
        <v>46</v>
      </c>
      <c r="D101" s="50">
        <v>4</v>
      </c>
      <c r="E101" s="50">
        <v>7</v>
      </c>
      <c r="F101" s="50">
        <v>-3</v>
      </c>
    </row>
    <row r="102" spans="1:6" x14ac:dyDescent="0.25">
      <c r="A102" s="50" t="s">
        <v>38</v>
      </c>
      <c r="B102" s="50" t="s">
        <v>71</v>
      </c>
      <c r="C102" s="50" t="s">
        <v>69</v>
      </c>
      <c r="D102" s="50">
        <v>1</v>
      </c>
      <c r="E102" s="50">
        <v>1</v>
      </c>
      <c r="F102" s="50">
        <v>0</v>
      </c>
    </row>
    <row r="103" spans="1:6" x14ac:dyDescent="0.25">
      <c r="A103" s="50" t="s">
        <v>44</v>
      </c>
      <c r="B103" s="50" t="s">
        <v>446</v>
      </c>
      <c r="C103" s="50" t="s">
        <v>490</v>
      </c>
      <c r="D103" s="50">
        <v>8</v>
      </c>
      <c r="E103" s="50">
        <v>3</v>
      </c>
      <c r="F103" s="50">
        <v>5</v>
      </c>
    </row>
    <row r="104" spans="1:6" x14ac:dyDescent="0.25">
      <c r="A104" s="50" t="s">
        <v>38</v>
      </c>
      <c r="B104" s="50" t="s">
        <v>134</v>
      </c>
      <c r="C104" s="50" t="s">
        <v>104</v>
      </c>
      <c r="D104" s="50">
        <v>13</v>
      </c>
      <c r="E104" s="50">
        <v>12</v>
      </c>
      <c r="F104" s="50">
        <v>1</v>
      </c>
    </row>
    <row r="105" spans="1:6" x14ac:dyDescent="0.25">
      <c r="A105" s="50" t="s">
        <v>44</v>
      </c>
      <c r="B105" s="50" t="s">
        <v>323</v>
      </c>
      <c r="C105" s="50" t="s">
        <v>37</v>
      </c>
      <c r="D105" s="50">
        <v>24</v>
      </c>
      <c r="E105" s="50">
        <v>23</v>
      </c>
      <c r="F105" s="50">
        <v>1</v>
      </c>
    </row>
    <row r="106" spans="1:6" x14ac:dyDescent="0.25">
      <c r="A106" s="50" t="s">
        <v>38</v>
      </c>
      <c r="B106" s="50" t="s">
        <v>248</v>
      </c>
      <c r="C106" s="50" t="s">
        <v>62</v>
      </c>
      <c r="D106" s="50">
        <v>1</v>
      </c>
      <c r="E106" s="50">
        <v>3</v>
      </c>
      <c r="F106" s="50">
        <v>-2</v>
      </c>
    </row>
    <row r="107" spans="1:6" x14ac:dyDescent="0.25">
      <c r="A107" s="50" t="s">
        <v>49</v>
      </c>
      <c r="B107" s="50" t="s">
        <v>504</v>
      </c>
      <c r="C107" s="50" t="s">
        <v>490</v>
      </c>
      <c r="D107" s="50">
        <v>13</v>
      </c>
      <c r="E107" s="50">
        <v>10</v>
      </c>
      <c r="F107" s="50">
        <v>3</v>
      </c>
    </row>
    <row r="108" spans="1:6" x14ac:dyDescent="0.25">
      <c r="A108" s="50" t="s">
        <v>44</v>
      </c>
      <c r="B108" s="50" t="s">
        <v>45</v>
      </c>
      <c r="C108" s="50" t="s">
        <v>46</v>
      </c>
      <c r="D108" s="50">
        <v>5</v>
      </c>
      <c r="E108" s="50">
        <v>7</v>
      </c>
      <c r="F108" s="50">
        <v>-2</v>
      </c>
    </row>
    <row r="109" spans="1:6" x14ac:dyDescent="0.25">
      <c r="A109" s="50" t="s">
        <v>49</v>
      </c>
      <c r="B109" s="50" t="s">
        <v>533</v>
      </c>
      <c r="C109" s="50" t="s">
        <v>490</v>
      </c>
      <c r="D109" s="50">
        <v>6</v>
      </c>
      <c r="E109" s="50">
        <v>6</v>
      </c>
      <c r="F109" s="50">
        <v>0</v>
      </c>
    </row>
    <row r="110" spans="1:6" x14ac:dyDescent="0.25">
      <c r="A110" s="50" t="s">
        <v>38</v>
      </c>
      <c r="B110" s="50" t="s">
        <v>270</v>
      </c>
      <c r="C110" s="50" t="s">
        <v>41</v>
      </c>
      <c r="D110" s="50">
        <v>7</v>
      </c>
      <c r="E110" s="50">
        <v>9</v>
      </c>
      <c r="F110" s="50">
        <v>-2</v>
      </c>
    </row>
    <row r="111" spans="1:6" x14ac:dyDescent="0.25">
      <c r="A111" s="50" t="s">
        <v>49</v>
      </c>
      <c r="B111" s="50" t="s">
        <v>641</v>
      </c>
      <c r="C111" s="50" t="s">
        <v>96</v>
      </c>
      <c r="D111" s="50">
        <v>1</v>
      </c>
      <c r="E111" s="50">
        <v>1</v>
      </c>
      <c r="F111" s="50">
        <v>0</v>
      </c>
    </row>
    <row r="112" spans="1:6" x14ac:dyDescent="0.25">
      <c r="A112" s="50" t="s">
        <v>38</v>
      </c>
      <c r="B112" s="50" t="s">
        <v>519</v>
      </c>
      <c r="C112" s="50" t="s">
        <v>98</v>
      </c>
      <c r="D112" s="50">
        <v>7</v>
      </c>
      <c r="E112" s="50">
        <v>7</v>
      </c>
      <c r="F112" s="50">
        <v>0</v>
      </c>
    </row>
    <row r="113" spans="1:6" x14ac:dyDescent="0.25">
      <c r="A113" s="50" t="s">
        <v>35</v>
      </c>
      <c r="B113" s="50" t="s">
        <v>208</v>
      </c>
      <c r="C113" s="50" t="s">
        <v>102</v>
      </c>
      <c r="D113" s="50">
        <v>10</v>
      </c>
      <c r="E113" s="50">
        <v>9</v>
      </c>
      <c r="F113" s="50">
        <v>1</v>
      </c>
    </row>
    <row r="114" spans="1:6" x14ac:dyDescent="0.25">
      <c r="A114" s="50" t="s">
        <v>38</v>
      </c>
      <c r="B114" s="50" t="s">
        <v>39</v>
      </c>
      <c r="C114" s="50" t="s">
        <v>40</v>
      </c>
      <c r="D114" s="50">
        <v>5</v>
      </c>
      <c r="E114" s="50">
        <v>7</v>
      </c>
      <c r="F114" s="50">
        <v>-2</v>
      </c>
    </row>
    <row r="115" spans="1:6" x14ac:dyDescent="0.25">
      <c r="A115" s="50" t="s">
        <v>44</v>
      </c>
      <c r="B115" s="50" t="s">
        <v>580</v>
      </c>
      <c r="C115" s="50" t="s">
        <v>84</v>
      </c>
      <c r="D115" s="50">
        <v>1</v>
      </c>
      <c r="E115" s="50">
        <v>3</v>
      </c>
      <c r="F115" s="50">
        <v>-2</v>
      </c>
    </row>
    <row r="116" spans="1:6" x14ac:dyDescent="0.25">
      <c r="A116" s="50" t="s">
        <v>44</v>
      </c>
      <c r="B116" s="50" t="s">
        <v>487</v>
      </c>
      <c r="C116" s="50" t="s">
        <v>133</v>
      </c>
      <c r="D116" s="50">
        <v>15</v>
      </c>
      <c r="E116" s="50">
        <v>12</v>
      </c>
      <c r="F116" s="50">
        <v>3</v>
      </c>
    </row>
    <row r="117" spans="1:6" x14ac:dyDescent="0.25">
      <c r="A117" s="50" t="s">
        <v>38</v>
      </c>
      <c r="B117" s="50" t="s">
        <v>280</v>
      </c>
      <c r="C117" s="50" t="s">
        <v>41</v>
      </c>
      <c r="D117" s="50">
        <v>3</v>
      </c>
      <c r="E117" s="50">
        <v>4</v>
      </c>
      <c r="F117" s="50">
        <v>-1</v>
      </c>
    </row>
    <row r="118" spans="1:6" x14ac:dyDescent="0.25">
      <c r="A118" s="50" t="s">
        <v>35</v>
      </c>
      <c r="B118" s="50" t="s">
        <v>369</v>
      </c>
      <c r="C118" s="50" t="s">
        <v>46</v>
      </c>
      <c r="D118" s="50">
        <v>11</v>
      </c>
      <c r="E118" s="50">
        <v>8</v>
      </c>
      <c r="F118" s="50">
        <v>3</v>
      </c>
    </row>
    <row r="119" spans="1:6" x14ac:dyDescent="0.25">
      <c r="A119" s="50" t="s">
        <v>38</v>
      </c>
      <c r="B119" s="50" t="s">
        <v>507</v>
      </c>
      <c r="C119" s="50" t="s">
        <v>59</v>
      </c>
      <c r="D119" s="50">
        <v>9</v>
      </c>
      <c r="E119" s="50">
        <v>9</v>
      </c>
      <c r="F119" s="50">
        <v>0</v>
      </c>
    </row>
    <row r="120" spans="1:6" x14ac:dyDescent="0.25">
      <c r="A120" s="50" t="s">
        <v>44</v>
      </c>
      <c r="B120" s="50" t="s">
        <v>269</v>
      </c>
      <c r="C120" s="50" t="s">
        <v>84</v>
      </c>
      <c r="D120" s="50">
        <v>18</v>
      </c>
      <c r="E120" s="50">
        <v>18</v>
      </c>
      <c r="F120" s="50">
        <v>0</v>
      </c>
    </row>
    <row r="121" spans="1:6" x14ac:dyDescent="0.25">
      <c r="A121" s="50" t="s">
        <v>49</v>
      </c>
      <c r="B121" s="50" t="s">
        <v>469</v>
      </c>
      <c r="C121" s="50" t="s">
        <v>104</v>
      </c>
      <c r="D121" s="50">
        <v>44</v>
      </c>
      <c r="E121" s="50">
        <v>49</v>
      </c>
      <c r="F121" s="50">
        <v>-5</v>
      </c>
    </row>
    <row r="122" spans="1:6" x14ac:dyDescent="0.25">
      <c r="A122" s="50" t="s">
        <v>44</v>
      </c>
      <c r="B122" s="50" t="s">
        <v>258</v>
      </c>
      <c r="C122" s="50" t="s">
        <v>104</v>
      </c>
      <c r="D122" s="50">
        <v>14</v>
      </c>
      <c r="E122" s="50">
        <v>18</v>
      </c>
      <c r="F122" s="50">
        <v>-4</v>
      </c>
    </row>
    <row r="123" spans="1:6" x14ac:dyDescent="0.25">
      <c r="A123" s="50" t="s">
        <v>49</v>
      </c>
      <c r="B123" s="50" t="s">
        <v>355</v>
      </c>
      <c r="C123" s="50" t="s">
        <v>40</v>
      </c>
      <c r="D123" s="50">
        <v>15</v>
      </c>
      <c r="E123" s="50">
        <v>17</v>
      </c>
      <c r="F123" s="50">
        <v>-2</v>
      </c>
    </row>
    <row r="124" spans="1:6" x14ac:dyDescent="0.25">
      <c r="A124" s="50" t="s">
        <v>35</v>
      </c>
      <c r="B124" s="50" t="s">
        <v>53</v>
      </c>
      <c r="C124" s="50" t="s">
        <v>54</v>
      </c>
      <c r="D124" s="50">
        <v>1</v>
      </c>
      <c r="E124" s="50">
        <v>1</v>
      </c>
      <c r="F124" s="50">
        <v>0</v>
      </c>
    </row>
    <row r="125" spans="1:6" x14ac:dyDescent="0.25">
      <c r="A125" s="50" t="s">
        <v>44</v>
      </c>
      <c r="B125" s="50" t="s">
        <v>439</v>
      </c>
      <c r="C125" s="50" t="s">
        <v>37</v>
      </c>
      <c r="D125" s="50">
        <v>6</v>
      </c>
      <c r="E125" s="50">
        <v>7</v>
      </c>
      <c r="F125" s="50">
        <v>-1</v>
      </c>
    </row>
    <row r="126" spans="1:6" x14ac:dyDescent="0.25">
      <c r="A126" s="50" t="s">
        <v>38</v>
      </c>
      <c r="B126" s="50" t="s">
        <v>410</v>
      </c>
      <c r="C126" s="50" t="s">
        <v>96</v>
      </c>
      <c r="D126" s="50">
        <v>2</v>
      </c>
      <c r="E126" s="50">
        <v>3</v>
      </c>
      <c r="F126" s="50">
        <v>-1</v>
      </c>
    </row>
    <row r="127" spans="1:6" x14ac:dyDescent="0.25">
      <c r="A127" s="50" t="s">
        <v>44</v>
      </c>
      <c r="B127" s="50" t="s">
        <v>47</v>
      </c>
      <c r="C127" s="50" t="s">
        <v>67</v>
      </c>
      <c r="D127" s="50">
        <v>5</v>
      </c>
      <c r="E127" s="50">
        <v>3</v>
      </c>
      <c r="F127" s="50">
        <v>2</v>
      </c>
    </row>
    <row r="128" spans="1:6" x14ac:dyDescent="0.25">
      <c r="A128" s="50" t="s">
        <v>49</v>
      </c>
      <c r="B128" s="50" t="s">
        <v>650</v>
      </c>
      <c r="C128" s="50" t="s">
        <v>59</v>
      </c>
      <c r="D128" s="50">
        <v>1</v>
      </c>
      <c r="E128" s="50">
        <v>1</v>
      </c>
      <c r="F128" s="50">
        <v>0</v>
      </c>
    </row>
    <row r="129" spans="1:6" x14ac:dyDescent="0.25">
      <c r="A129" s="50" t="s">
        <v>49</v>
      </c>
      <c r="B129" s="50" t="s">
        <v>637</v>
      </c>
      <c r="C129" s="50" t="s">
        <v>108</v>
      </c>
      <c r="D129" s="50">
        <v>1</v>
      </c>
      <c r="E129" s="50">
        <v>1</v>
      </c>
      <c r="F129" s="50">
        <v>0</v>
      </c>
    </row>
    <row r="130" spans="1:6" x14ac:dyDescent="0.25">
      <c r="A130" s="50" t="s">
        <v>38</v>
      </c>
      <c r="B130" s="50" t="s">
        <v>121</v>
      </c>
      <c r="C130" s="50" t="s">
        <v>96</v>
      </c>
      <c r="D130" s="50">
        <v>8</v>
      </c>
      <c r="E130" s="50">
        <v>8</v>
      </c>
      <c r="F130" s="50">
        <v>0</v>
      </c>
    </row>
    <row r="131" spans="1:6" x14ac:dyDescent="0.25">
      <c r="A131" s="50" t="s">
        <v>38</v>
      </c>
      <c r="B131" s="50" t="s">
        <v>233</v>
      </c>
      <c r="C131" s="50" t="s">
        <v>54</v>
      </c>
      <c r="D131" s="50">
        <v>9</v>
      </c>
      <c r="E131" s="50">
        <v>8</v>
      </c>
      <c r="F131" s="50">
        <v>1</v>
      </c>
    </row>
    <row r="132" spans="1:6" x14ac:dyDescent="0.25">
      <c r="A132" s="50" t="s">
        <v>38</v>
      </c>
      <c r="B132" s="50" t="s">
        <v>109</v>
      </c>
      <c r="C132" s="50" t="s">
        <v>67</v>
      </c>
      <c r="D132" s="50">
        <v>4</v>
      </c>
      <c r="E132" s="50">
        <v>7</v>
      </c>
      <c r="F132" s="50">
        <v>-3</v>
      </c>
    </row>
    <row r="133" spans="1:6" x14ac:dyDescent="0.25">
      <c r="A133" s="50" t="s">
        <v>44</v>
      </c>
      <c r="B133" s="50" t="s">
        <v>321</v>
      </c>
      <c r="C133" s="50" t="s">
        <v>67</v>
      </c>
      <c r="D133" s="50">
        <v>20</v>
      </c>
      <c r="E133" s="50">
        <v>15</v>
      </c>
      <c r="F133" s="50">
        <v>5</v>
      </c>
    </row>
    <row r="134" spans="1:6" x14ac:dyDescent="0.25">
      <c r="A134" s="50" t="s">
        <v>44</v>
      </c>
      <c r="B134" s="50" t="s">
        <v>48</v>
      </c>
      <c r="C134" s="50" t="s">
        <v>43</v>
      </c>
      <c r="D134" s="50">
        <v>10</v>
      </c>
      <c r="E134" s="50">
        <v>8</v>
      </c>
      <c r="F134" s="50">
        <v>2</v>
      </c>
    </row>
    <row r="135" spans="1:6" x14ac:dyDescent="0.25">
      <c r="A135" s="50" t="s">
        <v>44</v>
      </c>
      <c r="B135" s="50" t="s">
        <v>194</v>
      </c>
      <c r="C135" s="50" t="s">
        <v>84</v>
      </c>
      <c r="D135" s="50">
        <v>6</v>
      </c>
      <c r="E135" s="50">
        <v>8</v>
      </c>
      <c r="F135" s="50">
        <v>-2</v>
      </c>
    </row>
    <row r="136" spans="1:6" x14ac:dyDescent="0.25">
      <c r="A136" s="50" t="s">
        <v>38</v>
      </c>
      <c r="B136" s="50" t="s">
        <v>159</v>
      </c>
      <c r="C136" s="50" t="s">
        <v>104</v>
      </c>
      <c r="D136" s="50">
        <v>8</v>
      </c>
      <c r="E136" s="50">
        <v>7</v>
      </c>
      <c r="F136" s="50">
        <v>1</v>
      </c>
    </row>
    <row r="137" spans="1:6" x14ac:dyDescent="0.25">
      <c r="A137" s="50" t="s">
        <v>38</v>
      </c>
      <c r="B137" s="50" t="s">
        <v>203</v>
      </c>
      <c r="C137" s="50" t="s">
        <v>108</v>
      </c>
      <c r="D137" s="50">
        <v>11</v>
      </c>
      <c r="E137" s="50">
        <v>14</v>
      </c>
      <c r="F137" s="50">
        <v>-3</v>
      </c>
    </row>
    <row r="138" spans="1:6" x14ac:dyDescent="0.25">
      <c r="A138" s="50" t="s">
        <v>38</v>
      </c>
      <c r="B138" s="50" t="s">
        <v>146</v>
      </c>
      <c r="C138" s="50" t="s">
        <v>96</v>
      </c>
      <c r="D138" s="50">
        <v>15</v>
      </c>
      <c r="E138" s="50">
        <v>17</v>
      </c>
      <c r="F138" s="50">
        <v>-2</v>
      </c>
    </row>
    <row r="139" spans="1:6" x14ac:dyDescent="0.25">
      <c r="A139" s="50" t="s">
        <v>49</v>
      </c>
      <c r="B139" s="50" t="s">
        <v>249</v>
      </c>
      <c r="C139" s="50" t="s">
        <v>98</v>
      </c>
      <c r="D139" s="50">
        <v>20</v>
      </c>
      <c r="E139" s="50">
        <v>20</v>
      </c>
      <c r="F139" s="50">
        <v>0</v>
      </c>
    </row>
    <row r="140" spans="1:6" x14ac:dyDescent="0.25">
      <c r="A140" s="50" t="s">
        <v>44</v>
      </c>
      <c r="B140" s="50" t="s">
        <v>295</v>
      </c>
      <c r="C140" s="50" t="s">
        <v>46</v>
      </c>
      <c r="D140" s="50">
        <v>4</v>
      </c>
      <c r="E140" s="50">
        <v>3</v>
      </c>
      <c r="F140" s="50">
        <v>1</v>
      </c>
    </row>
    <row r="141" spans="1:6" x14ac:dyDescent="0.25">
      <c r="A141" s="50" t="s">
        <v>38</v>
      </c>
      <c r="B141" s="50" t="s">
        <v>211</v>
      </c>
      <c r="C141" s="50" t="s">
        <v>483</v>
      </c>
      <c r="D141" s="50">
        <v>2</v>
      </c>
      <c r="E141" s="50">
        <v>4</v>
      </c>
      <c r="F141" s="50">
        <v>-2</v>
      </c>
    </row>
    <row r="142" spans="1:6" x14ac:dyDescent="0.25">
      <c r="A142" s="50" t="s">
        <v>38</v>
      </c>
      <c r="B142" s="50" t="s">
        <v>651</v>
      </c>
      <c r="C142" s="50" t="s">
        <v>102</v>
      </c>
      <c r="D142" s="50">
        <v>3</v>
      </c>
      <c r="E142" s="50">
        <v>3</v>
      </c>
      <c r="F142" s="50">
        <v>0</v>
      </c>
    </row>
    <row r="143" spans="1:6" x14ac:dyDescent="0.25">
      <c r="A143" s="50" t="s">
        <v>44</v>
      </c>
      <c r="B143" s="50" t="s">
        <v>353</v>
      </c>
      <c r="C143" s="50" t="s">
        <v>69</v>
      </c>
      <c r="D143" s="50">
        <v>7</v>
      </c>
      <c r="E143" s="50">
        <v>4</v>
      </c>
      <c r="F143" s="50">
        <v>3</v>
      </c>
    </row>
    <row r="144" spans="1:6" x14ac:dyDescent="0.25">
      <c r="A144" s="50" t="s">
        <v>49</v>
      </c>
      <c r="B144" s="50" t="s">
        <v>652</v>
      </c>
      <c r="C144" s="50" t="s">
        <v>46</v>
      </c>
      <c r="D144" s="50">
        <v>3</v>
      </c>
      <c r="E144" s="50">
        <v>3</v>
      </c>
      <c r="F144" s="50">
        <v>0</v>
      </c>
    </row>
    <row r="145" spans="1:6" x14ac:dyDescent="0.25">
      <c r="A145" s="50" t="s">
        <v>49</v>
      </c>
      <c r="B145" s="50" t="s">
        <v>199</v>
      </c>
      <c r="C145" s="50" t="s">
        <v>54</v>
      </c>
      <c r="D145" s="50">
        <v>6</v>
      </c>
      <c r="E145" s="50">
        <v>13</v>
      </c>
      <c r="F145" s="50">
        <v>-7</v>
      </c>
    </row>
    <row r="146" spans="1:6" x14ac:dyDescent="0.25">
      <c r="A146" s="50" t="s">
        <v>44</v>
      </c>
      <c r="B146" s="50" t="s">
        <v>546</v>
      </c>
      <c r="C146" s="50" t="s">
        <v>484</v>
      </c>
      <c r="D146" s="50">
        <v>1</v>
      </c>
      <c r="E146" s="50">
        <v>5</v>
      </c>
      <c r="F146" s="50">
        <v>-4</v>
      </c>
    </row>
    <row r="147" spans="1:6" x14ac:dyDescent="0.25">
      <c r="A147" s="50" t="s">
        <v>49</v>
      </c>
      <c r="B147" s="50" t="s">
        <v>287</v>
      </c>
      <c r="C147" s="50" t="s">
        <v>102</v>
      </c>
      <c r="D147" s="50">
        <v>12</v>
      </c>
      <c r="E147" s="50">
        <v>14</v>
      </c>
      <c r="F147" s="50">
        <v>-2</v>
      </c>
    </row>
    <row r="148" spans="1:6" x14ac:dyDescent="0.25">
      <c r="A148" s="50" t="s">
        <v>38</v>
      </c>
      <c r="B148" s="50" t="s">
        <v>539</v>
      </c>
      <c r="C148" s="50" t="s">
        <v>483</v>
      </c>
      <c r="D148" s="50">
        <v>9</v>
      </c>
      <c r="E148" s="50">
        <v>5</v>
      </c>
      <c r="F148" s="50">
        <v>4</v>
      </c>
    </row>
    <row r="149" spans="1:6" x14ac:dyDescent="0.25">
      <c r="A149" s="50" t="s">
        <v>44</v>
      </c>
      <c r="B149" s="50" t="s">
        <v>653</v>
      </c>
      <c r="C149" s="50" t="s">
        <v>484</v>
      </c>
      <c r="D149" s="50">
        <v>1</v>
      </c>
      <c r="E149" s="50">
        <v>1</v>
      </c>
      <c r="F149" s="50">
        <v>0</v>
      </c>
    </row>
    <row r="150" spans="1:6" x14ac:dyDescent="0.25">
      <c r="A150" s="50" t="s">
        <v>44</v>
      </c>
      <c r="B150" s="50" t="s">
        <v>61</v>
      </c>
      <c r="C150" s="50" t="s">
        <v>62</v>
      </c>
      <c r="D150" s="50">
        <v>6</v>
      </c>
      <c r="E150" s="50">
        <v>9</v>
      </c>
      <c r="F150" s="50">
        <v>-3</v>
      </c>
    </row>
    <row r="151" spans="1:6" x14ac:dyDescent="0.25">
      <c r="A151" s="50" t="s">
        <v>38</v>
      </c>
      <c r="B151" s="50" t="s">
        <v>586</v>
      </c>
      <c r="C151" s="50" t="s">
        <v>41</v>
      </c>
      <c r="D151" s="50">
        <v>2</v>
      </c>
      <c r="E151" s="50">
        <v>2</v>
      </c>
      <c r="F151" s="50">
        <v>0</v>
      </c>
    </row>
    <row r="152" spans="1:6" x14ac:dyDescent="0.25">
      <c r="A152" s="50" t="s">
        <v>38</v>
      </c>
      <c r="B152" s="50" t="s">
        <v>540</v>
      </c>
      <c r="C152" s="50" t="s">
        <v>54</v>
      </c>
      <c r="D152" s="50">
        <v>5</v>
      </c>
      <c r="E152" s="50">
        <v>5</v>
      </c>
      <c r="F152" s="50">
        <v>0</v>
      </c>
    </row>
    <row r="153" spans="1:6" x14ac:dyDescent="0.25">
      <c r="A153" s="50" t="s">
        <v>38</v>
      </c>
      <c r="B153" s="50" t="s">
        <v>559</v>
      </c>
      <c r="C153" s="50" t="s">
        <v>483</v>
      </c>
      <c r="D153" s="50">
        <v>1</v>
      </c>
      <c r="E153" s="50">
        <v>4</v>
      </c>
      <c r="F153" s="50">
        <v>-3</v>
      </c>
    </row>
    <row r="154" spans="1:6" x14ac:dyDescent="0.25">
      <c r="A154" s="50" t="s">
        <v>38</v>
      </c>
      <c r="B154" s="50" t="s">
        <v>537</v>
      </c>
      <c r="C154" s="50" t="s">
        <v>484</v>
      </c>
      <c r="D154" s="50">
        <v>4</v>
      </c>
      <c r="E154" s="50">
        <v>5</v>
      </c>
      <c r="F154" s="50">
        <v>-1</v>
      </c>
    </row>
    <row r="155" spans="1:6" x14ac:dyDescent="0.25">
      <c r="A155" s="50" t="s">
        <v>49</v>
      </c>
      <c r="B155" s="50" t="s">
        <v>499</v>
      </c>
      <c r="C155" s="50" t="s">
        <v>490</v>
      </c>
      <c r="D155" s="50">
        <v>5</v>
      </c>
      <c r="E155" s="50">
        <v>11</v>
      </c>
      <c r="F155" s="50">
        <v>-6</v>
      </c>
    </row>
    <row r="156" spans="1:6" x14ac:dyDescent="0.25">
      <c r="A156" s="50" t="s">
        <v>44</v>
      </c>
      <c r="B156" s="50" t="s">
        <v>654</v>
      </c>
      <c r="C156" s="50" t="s">
        <v>69</v>
      </c>
      <c r="D156" s="50">
        <v>4</v>
      </c>
      <c r="E156" s="50">
        <v>4</v>
      </c>
      <c r="F156" s="50">
        <v>0</v>
      </c>
    </row>
    <row r="157" spans="1:6" x14ac:dyDescent="0.25">
      <c r="A157" s="50" t="s">
        <v>38</v>
      </c>
      <c r="B157" s="50" t="s">
        <v>534</v>
      </c>
      <c r="C157" s="50" t="s">
        <v>108</v>
      </c>
      <c r="D157" s="50">
        <v>7</v>
      </c>
      <c r="E157" s="50">
        <v>5</v>
      </c>
      <c r="F157" s="50">
        <v>2</v>
      </c>
    </row>
    <row r="158" spans="1:6" x14ac:dyDescent="0.25">
      <c r="A158" s="50" t="s">
        <v>38</v>
      </c>
      <c r="B158" s="50" t="s">
        <v>272</v>
      </c>
      <c r="C158" s="50" t="s">
        <v>43</v>
      </c>
      <c r="D158" s="50">
        <v>3</v>
      </c>
      <c r="E158" s="50">
        <v>2</v>
      </c>
      <c r="F158" s="50">
        <v>1</v>
      </c>
    </row>
    <row r="159" spans="1:6" x14ac:dyDescent="0.25">
      <c r="A159" s="50" t="s">
        <v>49</v>
      </c>
      <c r="B159" s="50" t="s">
        <v>154</v>
      </c>
      <c r="C159" s="50" t="s">
        <v>69</v>
      </c>
      <c r="D159" s="50">
        <v>7</v>
      </c>
      <c r="E159" s="50">
        <v>11</v>
      </c>
      <c r="F159" s="50">
        <v>-4</v>
      </c>
    </row>
    <row r="160" spans="1:6" x14ac:dyDescent="0.25">
      <c r="A160" s="50" t="s">
        <v>44</v>
      </c>
      <c r="B160" s="50" t="s">
        <v>320</v>
      </c>
      <c r="C160" s="50" t="s">
        <v>102</v>
      </c>
      <c r="D160" s="50">
        <v>6</v>
      </c>
      <c r="E160" s="50">
        <v>5</v>
      </c>
      <c r="F160" s="50">
        <v>1</v>
      </c>
    </row>
    <row r="161" spans="1:6" x14ac:dyDescent="0.25">
      <c r="A161" s="50" t="s">
        <v>35</v>
      </c>
      <c r="B161" s="50" t="s">
        <v>106</v>
      </c>
      <c r="C161" s="50" t="s">
        <v>40</v>
      </c>
      <c r="D161" s="50">
        <v>1</v>
      </c>
      <c r="E161" s="50">
        <v>1</v>
      </c>
      <c r="F161" s="50">
        <v>0</v>
      </c>
    </row>
    <row r="162" spans="1:6" x14ac:dyDescent="0.25">
      <c r="A162" s="50" t="s">
        <v>35</v>
      </c>
      <c r="B162" s="50" t="s">
        <v>155</v>
      </c>
      <c r="C162" s="50" t="s">
        <v>40</v>
      </c>
      <c r="D162" s="50">
        <v>15</v>
      </c>
      <c r="E162" s="50">
        <v>12</v>
      </c>
      <c r="F162" s="50">
        <v>3</v>
      </c>
    </row>
    <row r="163" spans="1:6" x14ac:dyDescent="0.25">
      <c r="A163" s="50" t="s">
        <v>44</v>
      </c>
      <c r="B163" s="50" t="s">
        <v>256</v>
      </c>
      <c r="C163" s="50" t="s">
        <v>54</v>
      </c>
      <c r="D163" s="50">
        <v>3</v>
      </c>
      <c r="E163" s="50">
        <v>8</v>
      </c>
      <c r="F163" s="50">
        <v>-5</v>
      </c>
    </row>
    <row r="164" spans="1:6" x14ac:dyDescent="0.25">
      <c r="A164" s="50" t="s">
        <v>44</v>
      </c>
      <c r="B164" s="50" t="s">
        <v>384</v>
      </c>
      <c r="C164" s="50" t="s">
        <v>104</v>
      </c>
      <c r="D164" s="50">
        <v>17</v>
      </c>
      <c r="E164" s="50">
        <v>24</v>
      </c>
      <c r="F164" s="50">
        <v>-7</v>
      </c>
    </row>
    <row r="165" spans="1:6" x14ac:dyDescent="0.25">
      <c r="A165" s="50" t="s">
        <v>35</v>
      </c>
      <c r="B165" s="50" t="s">
        <v>303</v>
      </c>
      <c r="C165" s="50" t="s">
        <v>483</v>
      </c>
      <c r="D165" s="50">
        <v>1</v>
      </c>
      <c r="E165" s="50">
        <v>1</v>
      </c>
      <c r="F165" s="50">
        <v>0</v>
      </c>
    </row>
    <row r="166" spans="1:6" x14ac:dyDescent="0.25">
      <c r="A166" s="50" t="s">
        <v>44</v>
      </c>
      <c r="B166" s="50" t="s">
        <v>213</v>
      </c>
      <c r="C166" s="50" t="s">
        <v>102</v>
      </c>
      <c r="D166" s="50">
        <v>12</v>
      </c>
      <c r="E166" s="50">
        <v>8</v>
      </c>
      <c r="F166" s="50">
        <v>4</v>
      </c>
    </row>
    <row r="167" spans="1:6" x14ac:dyDescent="0.25">
      <c r="A167" s="50" t="s">
        <v>38</v>
      </c>
      <c r="B167" s="50" t="s">
        <v>535</v>
      </c>
      <c r="C167" s="50" t="s">
        <v>133</v>
      </c>
      <c r="D167" s="50">
        <v>1</v>
      </c>
      <c r="E167" s="50">
        <v>5</v>
      </c>
      <c r="F167" s="50">
        <v>-4</v>
      </c>
    </row>
    <row r="168" spans="1:6" x14ac:dyDescent="0.25">
      <c r="A168" s="50" t="s">
        <v>49</v>
      </c>
      <c r="B168" s="50" t="s">
        <v>141</v>
      </c>
      <c r="C168" s="50" t="s">
        <v>104</v>
      </c>
      <c r="D168" s="50">
        <v>24</v>
      </c>
      <c r="E168" s="50">
        <v>36</v>
      </c>
      <c r="F168" s="50">
        <v>-12</v>
      </c>
    </row>
    <row r="169" spans="1:6" x14ac:dyDescent="0.25">
      <c r="A169" s="50" t="s">
        <v>49</v>
      </c>
      <c r="B169" s="50" t="s">
        <v>252</v>
      </c>
      <c r="C169" s="50" t="s">
        <v>84</v>
      </c>
      <c r="D169" s="50">
        <v>24</v>
      </c>
      <c r="E169" s="50">
        <v>35</v>
      </c>
      <c r="F169" s="50">
        <v>-11</v>
      </c>
    </row>
    <row r="170" spans="1:6" x14ac:dyDescent="0.25">
      <c r="A170" s="50" t="s">
        <v>44</v>
      </c>
      <c r="B170" s="50" t="s">
        <v>263</v>
      </c>
      <c r="C170" s="50" t="s">
        <v>54</v>
      </c>
      <c r="D170" s="50">
        <v>6</v>
      </c>
      <c r="E170" s="50">
        <v>13</v>
      </c>
      <c r="F170" s="50">
        <v>-7</v>
      </c>
    </row>
    <row r="171" spans="1:6" x14ac:dyDescent="0.25">
      <c r="A171" s="50" t="s">
        <v>49</v>
      </c>
      <c r="B171" s="50" t="s">
        <v>283</v>
      </c>
      <c r="C171" s="50" t="s">
        <v>54</v>
      </c>
      <c r="D171" s="50">
        <v>2</v>
      </c>
      <c r="E171" s="50">
        <v>4</v>
      </c>
      <c r="F171" s="50">
        <v>-2</v>
      </c>
    </row>
    <row r="172" spans="1:6" x14ac:dyDescent="0.25">
      <c r="A172" s="50" t="s">
        <v>44</v>
      </c>
      <c r="B172" s="50" t="s">
        <v>516</v>
      </c>
      <c r="C172" s="50" t="s">
        <v>98</v>
      </c>
      <c r="D172" s="50">
        <v>10</v>
      </c>
      <c r="E172" s="50">
        <v>8</v>
      </c>
      <c r="F172" s="50">
        <v>2</v>
      </c>
    </row>
    <row r="173" spans="1:6" x14ac:dyDescent="0.25">
      <c r="A173" s="50" t="s">
        <v>49</v>
      </c>
      <c r="B173" s="50" t="s">
        <v>276</v>
      </c>
      <c r="C173" s="50" t="s">
        <v>84</v>
      </c>
      <c r="D173" s="50">
        <v>17</v>
      </c>
      <c r="E173" s="50">
        <v>16</v>
      </c>
      <c r="F173" s="50">
        <v>1</v>
      </c>
    </row>
    <row r="174" spans="1:6" x14ac:dyDescent="0.25">
      <c r="A174" s="50" t="s">
        <v>49</v>
      </c>
      <c r="B174" s="50" t="s">
        <v>217</v>
      </c>
      <c r="C174" s="50" t="s">
        <v>54</v>
      </c>
      <c r="D174" s="50">
        <v>9</v>
      </c>
      <c r="E174" s="50">
        <v>16</v>
      </c>
      <c r="F174" s="50">
        <v>-7</v>
      </c>
    </row>
    <row r="175" spans="1:6" x14ac:dyDescent="0.25">
      <c r="A175" s="50" t="s">
        <v>38</v>
      </c>
      <c r="B175" s="50" t="s">
        <v>562</v>
      </c>
      <c r="C175" s="50" t="s">
        <v>46</v>
      </c>
      <c r="D175" s="50">
        <v>5</v>
      </c>
      <c r="E175" s="50">
        <v>4</v>
      </c>
      <c r="F175" s="50">
        <v>1</v>
      </c>
    </row>
    <row r="176" spans="1:6" x14ac:dyDescent="0.25">
      <c r="A176" s="50" t="s">
        <v>44</v>
      </c>
      <c r="B176" s="50" t="s">
        <v>247</v>
      </c>
      <c r="C176" s="50" t="s">
        <v>41</v>
      </c>
      <c r="D176" s="50">
        <v>8</v>
      </c>
      <c r="E176" s="50">
        <v>5</v>
      </c>
      <c r="F176" s="50">
        <v>3</v>
      </c>
    </row>
    <row r="177" spans="1:6" x14ac:dyDescent="0.25">
      <c r="A177" s="50" t="s">
        <v>49</v>
      </c>
      <c r="B177" s="50" t="s">
        <v>299</v>
      </c>
      <c r="C177" s="50" t="s">
        <v>483</v>
      </c>
      <c r="D177" s="50">
        <v>11</v>
      </c>
      <c r="E177" s="50">
        <v>12</v>
      </c>
      <c r="F177" s="50">
        <v>-1</v>
      </c>
    </row>
    <row r="178" spans="1:6" x14ac:dyDescent="0.25">
      <c r="A178" s="50" t="s">
        <v>49</v>
      </c>
      <c r="B178" s="50" t="s">
        <v>503</v>
      </c>
      <c r="C178" s="50" t="s">
        <v>59</v>
      </c>
      <c r="D178" s="50">
        <v>5</v>
      </c>
      <c r="E178" s="50">
        <v>10</v>
      </c>
      <c r="F178" s="50">
        <v>-5</v>
      </c>
    </row>
    <row r="179" spans="1:6" x14ac:dyDescent="0.25">
      <c r="A179" s="50" t="s">
        <v>38</v>
      </c>
      <c r="B179" s="50" t="s">
        <v>332</v>
      </c>
      <c r="C179" s="50" t="s">
        <v>84</v>
      </c>
      <c r="D179" s="50">
        <v>10</v>
      </c>
      <c r="E179" s="50">
        <v>11</v>
      </c>
      <c r="F179" s="50">
        <v>-1</v>
      </c>
    </row>
    <row r="180" spans="1:6" x14ac:dyDescent="0.25">
      <c r="A180" s="50" t="s">
        <v>38</v>
      </c>
      <c r="B180" s="50" t="s">
        <v>262</v>
      </c>
      <c r="C180" s="50" t="s">
        <v>41</v>
      </c>
      <c r="D180" s="50">
        <v>6</v>
      </c>
      <c r="E180" s="50">
        <v>6</v>
      </c>
      <c r="F180" s="50">
        <v>0</v>
      </c>
    </row>
    <row r="181" spans="1:6" x14ac:dyDescent="0.25">
      <c r="A181" s="50" t="s">
        <v>44</v>
      </c>
      <c r="B181" s="50" t="s">
        <v>523</v>
      </c>
      <c r="C181" s="50" t="s">
        <v>37</v>
      </c>
      <c r="D181" s="50">
        <v>5</v>
      </c>
      <c r="E181" s="50">
        <v>7</v>
      </c>
      <c r="F181" s="50">
        <v>-2</v>
      </c>
    </row>
    <row r="182" spans="1:6" x14ac:dyDescent="0.25">
      <c r="A182" s="50" t="s">
        <v>38</v>
      </c>
      <c r="B182" s="50" t="s">
        <v>56</v>
      </c>
      <c r="C182" s="50" t="s">
        <v>98</v>
      </c>
      <c r="D182" s="50">
        <v>1</v>
      </c>
      <c r="E182" s="50">
        <v>4</v>
      </c>
      <c r="F182" s="50">
        <v>-3</v>
      </c>
    </row>
    <row r="183" spans="1:6" x14ac:dyDescent="0.25">
      <c r="A183" s="50" t="s">
        <v>38</v>
      </c>
      <c r="B183" s="50" t="s">
        <v>302</v>
      </c>
      <c r="C183" s="50" t="s">
        <v>102</v>
      </c>
      <c r="D183" s="50">
        <v>9</v>
      </c>
      <c r="E183" s="50">
        <v>8</v>
      </c>
      <c r="F183" s="50">
        <v>1</v>
      </c>
    </row>
    <row r="184" spans="1:6" x14ac:dyDescent="0.25">
      <c r="A184" s="50" t="s">
        <v>49</v>
      </c>
      <c r="B184" s="50" t="s">
        <v>218</v>
      </c>
      <c r="C184" s="50" t="s">
        <v>41</v>
      </c>
      <c r="D184" s="50">
        <v>2</v>
      </c>
      <c r="E184" s="50">
        <v>5</v>
      </c>
      <c r="F184" s="50">
        <v>-3</v>
      </c>
    </row>
    <row r="185" spans="1:6" x14ac:dyDescent="0.25">
      <c r="A185" s="50" t="s">
        <v>38</v>
      </c>
      <c r="B185" s="50" t="s">
        <v>195</v>
      </c>
      <c r="C185" s="50" t="s">
        <v>84</v>
      </c>
      <c r="D185" s="50">
        <v>14</v>
      </c>
      <c r="E185" s="50">
        <v>14</v>
      </c>
      <c r="F185" s="50">
        <v>0</v>
      </c>
    </row>
    <row r="186" spans="1:6" x14ac:dyDescent="0.25">
      <c r="A186" s="50" t="s">
        <v>44</v>
      </c>
      <c r="B186" s="50" t="s">
        <v>318</v>
      </c>
      <c r="C186" s="50" t="s">
        <v>67</v>
      </c>
      <c r="D186" s="50">
        <v>9</v>
      </c>
      <c r="E186" s="50">
        <v>9</v>
      </c>
      <c r="F186" s="50">
        <v>0</v>
      </c>
    </row>
    <row r="187" spans="1:6" x14ac:dyDescent="0.25">
      <c r="A187" s="50" t="s">
        <v>35</v>
      </c>
      <c r="B187" s="50" t="s">
        <v>610</v>
      </c>
      <c r="C187" s="50" t="s">
        <v>484</v>
      </c>
      <c r="D187" s="50">
        <v>1</v>
      </c>
      <c r="E187" s="50">
        <v>1</v>
      </c>
      <c r="F187" s="50">
        <v>0</v>
      </c>
    </row>
    <row r="188" spans="1:6" x14ac:dyDescent="0.25">
      <c r="A188" s="50" t="s">
        <v>44</v>
      </c>
      <c r="B188" s="50" t="s">
        <v>273</v>
      </c>
      <c r="C188" s="50" t="s">
        <v>43</v>
      </c>
      <c r="D188" s="50">
        <v>17</v>
      </c>
      <c r="E188" s="50">
        <v>16</v>
      </c>
      <c r="F188" s="50">
        <v>1</v>
      </c>
    </row>
    <row r="189" spans="1:6" x14ac:dyDescent="0.25">
      <c r="A189" s="50" t="s">
        <v>35</v>
      </c>
      <c r="B189" s="50" t="s">
        <v>602</v>
      </c>
      <c r="C189" s="50" t="s">
        <v>41</v>
      </c>
      <c r="D189" s="50">
        <v>1</v>
      </c>
      <c r="E189" s="50">
        <v>1</v>
      </c>
      <c r="F189" s="50">
        <v>0</v>
      </c>
    </row>
    <row r="190" spans="1:6" x14ac:dyDescent="0.25">
      <c r="A190" s="50" t="s">
        <v>35</v>
      </c>
      <c r="B190" s="50" t="s">
        <v>611</v>
      </c>
      <c r="C190" s="50" t="s">
        <v>84</v>
      </c>
      <c r="D190" s="50">
        <v>1</v>
      </c>
      <c r="E190" s="50">
        <v>1</v>
      </c>
      <c r="F190" s="50">
        <v>0</v>
      </c>
    </row>
    <row r="191" spans="1:6" x14ac:dyDescent="0.25">
      <c r="A191" s="50" t="s">
        <v>49</v>
      </c>
      <c r="B191" s="50" t="s">
        <v>655</v>
      </c>
      <c r="C191" s="50" t="s">
        <v>98</v>
      </c>
      <c r="D191" s="50">
        <v>20</v>
      </c>
      <c r="E191" s="50">
        <v>19</v>
      </c>
      <c r="F191" s="50">
        <v>1</v>
      </c>
    </row>
    <row r="192" spans="1:6" x14ac:dyDescent="0.25">
      <c r="A192" s="50" t="s">
        <v>44</v>
      </c>
      <c r="B192" s="50" t="s">
        <v>278</v>
      </c>
      <c r="C192" s="50" t="s">
        <v>96</v>
      </c>
      <c r="D192" s="50">
        <v>6</v>
      </c>
      <c r="E192" s="50">
        <v>7</v>
      </c>
      <c r="F192" s="50">
        <v>-1</v>
      </c>
    </row>
    <row r="193" spans="1:6" x14ac:dyDescent="0.25">
      <c r="A193" s="50" t="s">
        <v>38</v>
      </c>
      <c r="B193" s="50" t="s">
        <v>528</v>
      </c>
      <c r="C193" s="50" t="s">
        <v>484</v>
      </c>
      <c r="D193" s="50">
        <v>9</v>
      </c>
      <c r="E193" s="50">
        <v>6</v>
      </c>
      <c r="F193" s="50">
        <v>3</v>
      </c>
    </row>
    <row r="194" spans="1:6" x14ac:dyDescent="0.25">
      <c r="A194" s="50" t="s">
        <v>38</v>
      </c>
      <c r="B194" s="50" t="s">
        <v>451</v>
      </c>
      <c r="C194" s="50" t="s">
        <v>484</v>
      </c>
      <c r="D194" s="50">
        <v>4</v>
      </c>
      <c r="E194" s="50">
        <v>5</v>
      </c>
      <c r="F194" s="50">
        <v>-1</v>
      </c>
    </row>
    <row r="195" spans="1:6" x14ac:dyDescent="0.25">
      <c r="A195" s="50" t="s">
        <v>44</v>
      </c>
      <c r="B195" s="50" t="s">
        <v>311</v>
      </c>
      <c r="C195" s="50" t="s">
        <v>37</v>
      </c>
      <c r="D195" s="50">
        <v>10</v>
      </c>
      <c r="E195" s="50">
        <v>11</v>
      </c>
      <c r="F195" s="50">
        <v>-1</v>
      </c>
    </row>
    <row r="196" spans="1:6" x14ac:dyDescent="0.25">
      <c r="A196" s="50" t="s">
        <v>49</v>
      </c>
      <c r="B196" s="50" t="s">
        <v>502</v>
      </c>
      <c r="C196" s="50" t="s">
        <v>484</v>
      </c>
      <c r="D196" s="50">
        <v>14</v>
      </c>
      <c r="E196" s="50">
        <v>10</v>
      </c>
      <c r="F196" s="50">
        <v>4</v>
      </c>
    </row>
    <row r="197" spans="1:6" x14ac:dyDescent="0.25">
      <c r="A197" s="50" t="s">
        <v>35</v>
      </c>
      <c r="B197" s="50" t="s">
        <v>617</v>
      </c>
      <c r="C197" s="50" t="s">
        <v>37</v>
      </c>
      <c r="D197" s="50">
        <v>1</v>
      </c>
      <c r="E197" s="50">
        <v>1</v>
      </c>
      <c r="F197" s="50">
        <v>0</v>
      </c>
    </row>
    <row r="198" spans="1:6" x14ac:dyDescent="0.25">
      <c r="A198" s="50" t="s">
        <v>38</v>
      </c>
      <c r="B198" s="50" t="s">
        <v>591</v>
      </c>
      <c r="C198" s="50" t="s">
        <v>490</v>
      </c>
      <c r="D198" s="50">
        <v>4</v>
      </c>
      <c r="E198" s="50">
        <v>2</v>
      </c>
      <c r="F198" s="50">
        <v>2</v>
      </c>
    </row>
    <row r="199" spans="1:6" x14ac:dyDescent="0.25">
      <c r="A199" s="50" t="s">
        <v>38</v>
      </c>
      <c r="B199" s="50" t="s">
        <v>175</v>
      </c>
      <c r="C199" s="50" t="s">
        <v>62</v>
      </c>
      <c r="D199" s="50">
        <v>7</v>
      </c>
      <c r="E199" s="50">
        <v>9</v>
      </c>
      <c r="F199" s="50">
        <v>-2</v>
      </c>
    </row>
    <row r="200" spans="1:6" x14ac:dyDescent="0.25">
      <c r="A200" s="50" t="s">
        <v>44</v>
      </c>
      <c r="B200" s="50" t="s">
        <v>259</v>
      </c>
      <c r="C200" s="50" t="s">
        <v>69</v>
      </c>
      <c r="D200" s="50">
        <v>11</v>
      </c>
      <c r="E200" s="50">
        <v>14</v>
      </c>
      <c r="F200" s="50">
        <v>-3</v>
      </c>
    </row>
    <row r="201" spans="1:6" x14ac:dyDescent="0.25">
      <c r="A201" s="50" t="s">
        <v>38</v>
      </c>
      <c r="B201" s="50" t="s">
        <v>72</v>
      </c>
      <c r="C201" s="50" t="s">
        <v>484</v>
      </c>
      <c r="D201" s="50">
        <v>3</v>
      </c>
      <c r="E201" s="50">
        <v>2</v>
      </c>
      <c r="F201" s="50">
        <v>1</v>
      </c>
    </row>
    <row r="202" spans="1:6" x14ac:dyDescent="0.25">
      <c r="A202" s="50" t="s">
        <v>38</v>
      </c>
      <c r="B202" s="50" t="s">
        <v>186</v>
      </c>
      <c r="C202" s="50" t="s">
        <v>490</v>
      </c>
      <c r="D202" s="50">
        <v>6</v>
      </c>
      <c r="E202" s="50">
        <v>6</v>
      </c>
      <c r="F202" s="50">
        <v>0</v>
      </c>
    </row>
    <row r="203" spans="1:6" x14ac:dyDescent="0.25">
      <c r="A203" s="50" t="s">
        <v>35</v>
      </c>
      <c r="B203" s="50" t="s">
        <v>239</v>
      </c>
      <c r="C203" s="50" t="s">
        <v>43</v>
      </c>
      <c r="D203" s="50">
        <v>4</v>
      </c>
      <c r="E203" s="50">
        <v>1</v>
      </c>
      <c r="F203" s="50">
        <v>3</v>
      </c>
    </row>
    <row r="204" spans="1:6" x14ac:dyDescent="0.25">
      <c r="A204" s="50" t="s">
        <v>49</v>
      </c>
      <c r="B204" s="50" t="s">
        <v>50</v>
      </c>
      <c r="C204" s="50" t="s">
        <v>43</v>
      </c>
      <c r="D204" s="50">
        <v>23</v>
      </c>
      <c r="E204" s="50">
        <v>23</v>
      </c>
      <c r="F204" s="50">
        <v>0</v>
      </c>
    </row>
    <row r="205" spans="1:6" x14ac:dyDescent="0.25">
      <c r="A205" s="50" t="s">
        <v>35</v>
      </c>
      <c r="B205" s="50" t="s">
        <v>220</v>
      </c>
      <c r="C205" s="50" t="s">
        <v>41</v>
      </c>
      <c r="D205" s="50">
        <v>8</v>
      </c>
      <c r="E205" s="50">
        <v>1</v>
      </c>
      <c r="F205" s="50">
        <v>7</v>
      </c>
    </row>
    <row r="206" spans="1:6" x14ac:dyDescent="0.25">
      <c r="A206" s="50" t="s">
        <v>38</v>
      </c>
      <c r="B206" s="50" t="s">
        <v>187</v>
      </c>
      <c r="C206" s="50" t="s">
        <v>54</v>
      </c>
      <c r="D206" s="50">
        <v>5</v>
      </c>
      <c r="E206" s="50">
        <v>6</v>
      </c>
      <c r="F206" s="50">
        <v>-1</v>
      </c>
    </row>
    <row r="207" spans="1:6" x14ac:dyDescent="0.25">
      <c r="A207" s="50" t="s">
        <v>44</v>
      </c>
      <c r="B207" s="50" t="s">
        <v>625</v>
      </c>
      <c r="C207" s="50" t="s">
        <v>490</v>
      </c>
      <c r="D207" s="50">
        <v>2</v>
      </c>
      <c r="E207" s="50">
        <v>1</v>
      </c>
      <c r="F207" s="50">
        <v>1</v>
      </c>
    </row>
    <row r="208" spans="1:6" x14ac:dyDescent="0.25">
      <c r="A208" s="50" t="s">
        <v>38</v>
      </c>
      <c r="B208" s="50" t="s">
        <v>356</v>
      </c>
      <c r="C208" s="50" t="s">
        <v>43</v>
      </c>
      <c r="D208" s="50">
        <v>10</v>
      </c>
      <c r="E208" s="50">
        <v>7</v>
      </c>
      <c r="F208" s="50">
        <v>3</v>
      </c>
    </row>
    <row r="209" spans="1:6" x14ac:dyDescent="0.25">
      <c r="A209" s="50" t="s">
        <v>49</v>
      </c>
      <c r="B209" s="50" t="s">
        <v>642</v>
      </c>
      <c r="C209" s="50" t="s">
        <v>37</v>
      </c>
      <c r="D209" s="50">
        <v>1</v>
      </c>
      <c r="E209" s="50">
        <v>1</v>
      </c>
      <c r="F209" s="50">
        <v>0</v>
      </c>
    </row>
    <row r="210" spans="1:6" x14ac:dyDescent="0.25">
      <c r="A210" s="50" t="s">
        <v>44</v>
      </c>
      <c r="B210" s="50" t="s">
        <v>51</v>
      </c>
      <c r="C210" s="50" t="s">
        <v>484</v>
      </c>
      <c r="D210" s="50">
        <v>5</v>
      </c>
      <c r="E210" s="50">
        <v>9</v>
      </c>
      <c r="F210" s="50">
        <v>-4</v>
      </c>
    </row>
    <row r="211" spans="1:6" x14ac:dyDescent="0.25">
      <c r="A211" s="50" t="s">
        <v>35</v>
      </c>
      <c r="B211" s="50" t="s">
        <v>143</v>
      </c>
      <c r="C211" s="50" t="s">
        <v>133</v>
      </c>
      <c r="D211" s="50">
        <v>1</v>
      </c>
      <c r="E211" s="50">
        <v>1</v>
      </c>
      <c r="F211" s="50">
        <v>0</v>
      </c>
    </row>
    <row r="212" spans="1:6" x14ac:dyDescent="0.25">
      <c r="A212" s="50" t="s">
        <v>38</v>
      </c>
      <c r="B212" s="50" t="s">
        <v>572</v>
      </c>
      <c r="C212" s="50" t="s">
        <v>59</v>
      </c>
      <c r="D212" s="50">
        <v>3</v>
      </c>
      <c r="E212" s="50">
        <v>3</v>
      </c>
      <c r="F212" s="50">
        <v>0</v>
      </c>
    </row>
    <row r="213" spans="1:6" x14ac:dyDescent="0.25">
      <c r="A213" s="50" t="s">
        <v>44</v>
      </c>
      <c r="B213" s="50" t="s">
        <v>179</v>
      </c>
      <c r="C213" s="50" t="s">
        <v>62</v>
      </c>
      <c r="D213" s="50">
        <v>10</v>
      </c>
      <c r="E213" s="50">
        <v>15</v>
      </c>
      <c r="F213" s="50">
        <v>-5</v>
      </c>
    </row>
    <row r="214" spans="1:6" x14ac:dyDescent="0.25">
      <c r="A214" s="50" t="s">
        <v>38</v>
      </c>
      <c r="B214" s="50" t="s">
        <v>573</v>
      </c>
      <c r="C214" s="50" t="s">
        <v>37</v>
      </c>
      <c r="D214" s="50">
        <v>3</v>
      </c>
      <c r="E214" s="50">
        <v>3</v>
      </c>
      <c r="F214" s="50">
        <v>0</v>
      </c>
    </row>
    <row r="215" spans="1:6" x14ac:dyDescent="0.25">
      <c r="A215" s="50" t="s">
        <v>35</v>
      </c>
      <c r="B215" s="50" t="s">
        <v>118</v>
      </c>
      <c r="C215" s="50" t="s">
        <v>96</v>
      </c>
      <c r="D215" s="50">
        <v>16</v>
      </c>
      <c r="E215" s="50">
        <v>16</v>
      </c>
      <c r="F215" s="50">
        <v>0</v>
      </c>
    </row>
    <row r="216" spans="1:6" x14ac:dyDescent="0.25">
      <c r="A216" s="50" t="s">
        <v>38</v>
      </c>
      <c r="B216" s="50" t="s">
        <v>351</v>
      </c>
      <c r="C216" s="50" t="s">
        <v>43</v>
      </c>
      <c r="D216" s="50">
        <v>13</v>
      </c>
      <c r="E216" s="50">
        <v>8</v>
      </c>
      <c r="F216" s="50">
        <v>5</v>
      </c>
    </row>
    <row r="217" spans="1:6" x14ac:dyDescent="0.25">
      <c r="A217" s="50" t="s">
        <v>38</v>
      </c>
      <c r="B217" s="50" t="s">
        <v>241</v>
      </c>
      <c r="C217" s="50" t="s">
        <v>54</v>
      </c>
      <c r="D217" s="50">
        <v>6</v>
      </c>
      <c r="E217" s="50">
        <v>7</v>
      </c>
      <c r="F217" s="50">
        <v>-1</v>
      </c>
    </row>
    <row r="218" spans="1:6" x14ac:dyDescent="0.25">
      <c r="A218" s="50" t="s">
        <v>44</v>
      </c>
      <c r="B218" s="50" t="s">
        <v>76</v>
      </c>
      <c r="C218" s="50" t="s">
        <v>69</v>
      </c>
      <c r="D218" s="50">
        <v>6</v>
      </c>
      <c r="E218" s="50">
        <v>6</v>
      </c>
      <c r="F218" s="50">
        <v>0</v>
      </c>
    </row>
    <row r="219" spans="1:6" x14ac:dyDescent="0.25">
      <c r="A219" s="50" t="s">
        <v>44</v>
      </c>
      <c r="B219" s="50" t="s">
        <v>188</v>
      </c>
      <c r="C219" s="50" t="s">
        <v>59</v>
      </c>
      <c r="D219" s="50">
        <v>7</v>
      </c>
      <c r="E219" s="50">
        <v>6</v>
      </c>
      <c r="F219" s="50">
        <v>1</v>
      </c>
    </row>
    <row r="220" spans="1:6" x14ac:dyDescent="0.25">
      <c r="A220" s="50" t="s">
        <v>38</v>
      </c>
      <c r="B220" s="50" t="s">
        <v>85</v>
      </c>
      <c r="C220" s="50" t="s">
        <v>62</v>
      </c>
      <c r="D220" s="50">
        <v>8</v>
      </c>
      <c r="E220" s="50">
        <v>9</v>
      </c>
      <c r="F220" s="50">
        <v>-1</v>
      </c>
    </row>
    <row r="221" spans="1:6" x14ac:dyDescent="0.25">
      <c r="A221" s="50" t="s">
        <v>35</v>
      </c>
      <c r="B221" s="50" t="s">
        <v>615</v>
      </c>
      <c r="C221" s="50" t="s">
        <v>490</v>
      </c>
      <c r="D221" s="50">
        <v>1</v>
      </c>
      <c r="E221" s="50">
        <v>1</v>
      </c>
      <c r="F221" s="50">
        <v>0</v>
      </c>
    </row>
    <row r="222" spans="1:6" x14ac:dyDescent="0.25">
      <c r="A222" s="50" t="s">
        <v>38</v>
      </c>
      <c r="B222" s="50" t="s">
        <v>588</v>
      </c>
      <c r="C222" s="50" t="s">
        <v>484</v>
      </c>
      <c r="D222" s="50">
        <v>7</v>
      </c>
      <c r="E222" s="50">
        <v>2</v>
      </c>
      <c r="F222" s="50">
        <v>5</v>
      </c>
    </row>
    <row r="223" spans="1:6" x14ac:dyDescent="0.25">
      <c r="A223" s="50" t="s">
        <v>49</v>
      </c>
      <c r="B223" s="50" t="s">
        <v>200</v>
      </c>
      <c r="C223" s="50" t="s">
        <v>108</v>
      </c>
      <c r="D223" s="50">
        <v>23</v>
      </c>
      <c r="E223" s="50">
        <v>25</v>
      </c>
      <c r="F223" s="50">
        <v>-2</v>
      </c>
    </row>
    <row r="224" spans="1:6" x14ac:dyDescent="0.25">
      <c r="A224" s="50" t="s">
        <v>38</v>
      </c>
      <c r="B224" s="50" t="s">
        <v>656</v>
      </c>
      <c r="C224" s="50" t="s">
        <v>43</v>
      </c>
      <c r="D224" s="50">
        <v>2</v>
      </c>
      <c r="E224" s="50">
        <v>2</v>
      </c>
      <c r="F224" s="50">
        <v>0</v>
      </c>
    </row>
    <row r="225" spans="1:6" x14ac:dyDescent="0.25">
      <c r="A225" s="50" t="s">
        <v>49</v>
      </c>
      <c r="B225" s="50" t="s">
        <v>128</v>
      </c>
      <c r="C225" s="50" t="s">
        <v>96</v>
      </c>
      <c r="D225" s="50">
        <v>31</v>
      </c>
      <c r="E225" s="50">
        <v>39</v>
      </c>
      <c r="F225" s="50">
        <v>-8</v>
      </c>
    </row>
    <row r="226" spans="1:6" x14ac:dyDescent="0.25">
      <c r="A226" s="50" t="s">
        <v>35</v>
      </c>
      <c r="B226" s="50" t="s">
        <v>221</v>
      </c>
      <c r="C226" s="50" t="s">
        <v>108</v>
      </c>
      <c r="D226" s="50">
        <v>3</v>
      </c>
      <c r="E226" s="50">
        <v>1</v>
      </c>
      <c r="F226" s="50">
        <v>2</v>
      </c>
    </row>
    <row r="227" spans="1:6" x14ac:dyDescent="0.25">
      <c r="A227" s="50" t="s">
        <v>44</v>
      </c>
      <c r="B227" s="50" t="s">
        <v>99</v>
      </c>
      <c r="C227" s="50" t="s">
        <v>43</v>
      </c>
      <c r="D227" s="50">
        <v>21</v>
      </c>
      <c r="E227" s="50">
        <v>26</v>
      </c>
      <c r="F227" s="50">
        <v>-5</v>
      </c>
    </row>
    <row r="228" spans="1:6" x14ac:dyDescent="0.25">
      <c r="A228" s="50" t="s">
        <v>49</v>
      </c>
      <c r="B228" s="50" t="s">
        <v>271</v>
      </c>
      <c r="C228" s="50" t="s">
        <v>133</v>
      </c>
      <c r="D228" s="50">
        <v>35</v>
      </c>
      <c r="E228" s="50">
        <v>41</v>
      </c>
      <c r="F228" s="50">
        <v>-6</v>
      </c>
    </row>
    <row r="229" spans="1:6" x14ac:dyDescent="0.25">
      <c r="A229" s="50" t="s">
        <v>44</v>
      </c>
      <c r="B229" s="50" t="s">
        <v>376</v>
      </c>
      <c r="C229" s="50" t="s">
        <v>67</v>
      </c>
      <c r="D229" s="50">
        <v>1</v>
      </c>
      <c r="E229" s="50">
        <v>1</v>
      </c>
      <c r="F229" s="50">
        <v>0</v>
      </c>
    </row>
    <row r="230" spans="1:6" x14ac:dyDescent="0.25">
      <c r="A230" s="50" t="s">
        <v>49</v>
      </c>
      <c r="B230" s="50" t="s">
        <v>79</v>
      </c>
      <c r="C230" s="50" t="s">
        <v>484</v>
      </c>
      <c r="D230" s="50">
        <v>19</v>
      </c>
      <c r="E230" s="50">
        <v>13</v>
      </c>
      <c r="F230" s="50">
        <v>6</v>
      </c>
    </row>
    <row r="231" spans="1:6" x14ac:dyDescent="0.25">
      <c r="A231" s="50" t="s">
        <v>49</v>
      </c>
      <c r="B231" s="50" t="s">
        <v>183</v>
      </c>
      <c r="C231" s="50" t="s">
        <v>62</v>
      </c>
      <c r="D231" s="50">
        <v>25</v>
      </c>
      <c r="E231" s="50">
        <v>27</v>
      </c>
      <c r="F231" s="50">
        <v>-2</v>
      </c>
    </row>
    <row r="232" spans="1:6" x14ac:dyDescent="0.25">
      <c r="A232" s="50" t="s">
        <v>44</v>
      </c>
      <c r="B232" s="50" t="s">
        <v>244</v>
      </c>
      <c r="C232" s="50" t="s">
        <v>46</v>
      </c>
      <c r="D232" s="50">
        <v>10</v>
      </c>
      <c r="E232" s="50">
        <v>9</v>
      </c>
      <c r="F232" s="50">
        <v>1</v>
      </c>
    </row>
    <row r="233" spans="1:6" x14ac:dyDescent="0.25">
      <c r="A233" s="50" t="s">
        <v>38</v>
      </c>
      <c r="B233" s="50" t="s">
        <v>110</v>
      </c>
      <c r="C233" s="50" t="s">
        <v>108</v>
      </c>
      <c r="D233" s="50">
        <v>12</v>
      </c>
      <c r="E233" s="50">
        <v>9</v>
      </c>
      <c r="F233" s="50">
        <v>3</v>
      </c>
    </row>
    <row r="234" spans="1:6" x14ac:dyDescent="0.25">
      <c r="A234" s="50" t="s">
        <v>35</v>
      </c>
      <c r="B234" s="50" t="s">
        <v>657</v>
      </c>
      <c r="C234" s="50" t="s">
        <v>59</v>
      </c>
      <c r="D234" s="50">
        <v>2</v>
      </c>
      <c r="E234" s="50">
        <v>2</v>
      </c>
      <c r="F234" s="50">
        <v>0</v>
      </c>
    </row>
    <row r="235" spans="1:6" x14ac:dyDescent="0.25">
      <c r="A235" s="50" t="s">
        <v>44</v>
      </c>
      <c r="B235" s="50" t="s">
        <v>658</v>
      </c>
      <c r="C235" s="50" t="s">
        <v>41</v>
      </c>
      <c r="D235" s="50">
        <v>6</v>
      </c>
      <c r="E235" s="50">
        <v>6</v>
      </c>
      <c r="F235" s="50">
        <v>0</v>
      </c>
    </row>
    <row r="236" spans="1:6" x14ac:dyDescent="0.25">
      <c r="A236" s="50" t="s">
        <v>44</v>
      </c>
      <c r="B236" s="50" t="s">
        <v>319</v>
      </c>
      <c r="C236" s="50" t="s">
        <v>98</v>
      </c>
      <c r="D236" s="50">
        <v>8</v>
      </c>
      <c r="E236" s="50">
        <v>15</v>
      </c>
      <c r="F236" s="50">
        <v>-7</v>
      </c>
    </row>
    <row r="237" spans="1:6" x14ac:dyDescent="0.25">
      <c r="A237" s="50" t="s">
        <v>38</v>
      </c>
      <c r="B237" s="50" t="s">
        <v>388</v>
      </c>
      <c r="C237" s="50" t="s">
        <v>69</v>
      </c>
      <c r="D237" s="50">
        <v>4</v>
      </c>
      <c r="E237" s="50">
        <v>5</v>
      </c>
      <c r="F237" s="50">
        <v>-1</v>
      </c>
    </row>
    <row r="238" spans="1:6" x14ac:dyDescent="0.25">
      <c r="A238" s="50" t="s">
        <v>44</v>
      </c>
      <c r="B238" s="50" t="s">
        <v>452</v>
      </c>
      <c r="C238" s="50" t="s">
        <v>96</v>
      </c>
      <c r="D238" s="50">
        <v>7</v>
      </c>
      <c r="E238" s="50">
        <v>3</v>
      </c>
      <c r="F238" s="50">
        <v>4</v>
      </c>
    </row>
    <row r="239" spans="1:6" x14ac:dyDescent="0.25">
      <c r="A239" s="50" t="s">
        <v>44</v>
      </c>
      <c r="B239" s="50" t="s">
        <v>298</v>
      </c>
      <c r="C239" s="50" t="s">
        <v>46</v>
      </c>
      <c r="D239" s="50">
        <v>15</v>
      </c>
      <c r="E239" s="50">
        <v>13</v>
      </c>
      <c r="F239" s="50">
        <v>2</v>
      </c>
    </row>
    <row r="240" spans="1:6" x14ac:dyDescent="0.25">
      <c r="A240" s="50" t="s">
        <v>38</v>
      </c>
      <c r="B240" s="50" t="s">
        <v>122</v>
      </c>
      <c r="C240" s="50" t="s">
        <v>84</v>
      </c>
      <c r="D240" s="50">
        <v>7</v>
      </c>
      <c r="E240" s="50">
        <v>7</v>
      </c>
      <c r="F240" s="50">
        <v>0</v>
      </c>
    </row>
    <row r="241" spans="1:6" x14ac:dyDescent="0.25">
      <c r="A241" s="50" t="s">
        <v>38</v>
      </c>
      <c r="B241" s="50" t="s">
        <v>569</v>
      </c>
      <c r="C241" s="50" t="s">
        <v>98</v>
      </c>
      <c r="D241" s="50">
        <v>2</v>
      </c>
      <c r="E241" s="50">
        <v>3</v>
      </c>
      <c r="F241" s="50">
        <v>-1</v>
      </c>
    </row>
    <row r="242" spans="1:6" x14ac:dyDescent="0.25">
      <c r="A242" s="50" t="s">
        <v>35</v>
      </c>
      <c r="B242" s="50" t="s">
        <v>453</v>
      </c>
      <c r="C242" s="50" t="s">
        <v>62</v>
      </c>
      <c r="D242" s="50">
        <v>4</v>
      </c>
      <c r="E242" s="50">
        <v>1</v>
      </c>
      <c r="F242" s="50">
        <v>3</v>
      </c>
    </row>
    <row r="243" spans="1:6" x14ac:dyDescent="0.25">
      <c r="A243" s="50" t="s">
        <v>38</v>
      </c>
      <c r="B243" s="50" t="s">
        <v>371</v>
      </c>
      <c r="C243" s="50" t="s">
        <v>84</v>
      </c>
      <c r="D243" s="50">
        <v>3</v>
      </c>
      <c r="E243" s="50">
        <v>6</v>
      </c>
      <c r="F243" s="50">
        <v>-3</v>
      </c>
    </row>
    <row r="244" spans="1:6" x14ac:dyDescent="0.25">
      <c r="A244" s="50" t="s">
        <v>44</v>
      </c>
      <c r="B244" s="50" t="s">
        <v>631</v>
      </c>
      <c r="C244" s="50" t="s">
        <v>67</v>
      </c>
      <c r="D244" s="50">
        <v>1</v>
      </c>
      <c r="E244" s="50">
        <v>1</v>
      </c>
      <c r="F244" s="50">
        <v>0</v>
      </c>
    </row>
    <row r="245" spans="1:6" x14ac:dyDescent="0.25">
      <c r="A245" s="50" t="s">
        <v>49</v>
      </c>
      <c r="B245" s="50" t="s">
        <v>345</v>
      </c>
      <c r="C245" s="50" t="s">
        <v>104</v>
      </c>
      <c r="D245" s="50">
        <v>3</v>
      </c>
      <c r="E245" s="50">
        <v>7</v>
      </c>
      <c r="F245" s="50">
        <v>-4</v>
      </c>
    </row>
    <row r="246" spans="1:6" x14ac:dyDescent="0.25">
      <c r="A246" s="50" t="s">
        <v>49</v>
      </c>
      <c r="B246" s="50" t="s">
        <v>454</v>
      </c>
      <c r="C246" s="50" t="s">
        <v>96</v>
      </c>
      <c r="D246" s="50">
        <v>19</v>
      </c>
      <c r="E246" s="50">
        <v>19</v>
      </c>
      <c r="F246" s="50">
        <v>0</v>
      </c>
    </row>
    <row r="247" spans="1:6" x14ac:dyDescent="0.25">
      <c r="A247" s="50" t="s">
        <v>44</v>
      </c>
      <c r="B247" s="50" t="s">
        <v>285</v>
      </c>
      <c r="C247" s="50" t="s">
        <v>40</v>
      </c>
      <c r="D247" s="50">
        <v>12</v>
      </c>
      <c r="E247" s="50">
        <v>11</v>
      </c>
      <c r="F247" s="50">
        <v>1</v>
      </c>
    </row>
    <row r="248" spans="1:6" x14ac:dyDescent="0.25">
      <c r="A248" s="50" t="s">
        <v>44</v>
      </c>
      <c r="B248" s="50" t="s">
        <v>137</v>
      </c>
      <c r="C248" s="50" t="s">
        <v>104</v>
      </c>
      <c r="D248" s="50">
        <v>13</v>
      </c>
      <c r="E248" s="50">
        <v>18</v>
      </c>
      <c r="F248" s="50">
        <v>-5</v>
      </c>
    </row>
    <row r="249" spans="1:6" x14ac:dyDescent="0.25">
      <c r="A249" s="50" t="s">
        <v>44</v>
      </c>
      <c r="B249" s="50" t="s">
        <v>455</v>
      </c>
      <c r="C249" s="50" t="s">
        <v>69</v>
      </c>
      <c r="D249" s="50">
        <v>4</v>
      </c>
      <c r="E249" s="50">
        <v>3</v>
      </c>
      <c r="F249" s="50">
        <v>1</v>
      </c>
    </row>
    <row r="250" spans="1:6" x14ac:dyDescent="0.25">
      <c r="A250" s="50" t="s">
        <v>38</v>
      </c>
      <c r="B250" s="50" t="s">
        <v>517</v>
      </c>
      <c r="C250" s="50" t="s">
        <v>46</v>
      </c>
      <c r="D250" s="50">
        <v>6</v>
      </c>
      <c r="E250" s="50">
        <v>7</v>
      </c>
      <c r="F250" s="50">
        <v>-1</v>
      </c>
    </row>
    <row r="251" spans="1:6" x14ac:dyDescent="0.25">
      <c r="A251" s="50" t="s">
        <v>49</v>
      </c>
      <c r="B251" s="50" t="s">
        <v>473</v>
      </c>
      <c r="C251" s="50" t="s">
        <v>84</v>
      </c>
      <c r="D251" s="50">
        <v>14</v>
      </c>
      <c r="E251" s="50">
        <v>18</v>
      </c>
      <c r="F251" s="50">
        <v>-4</v>
      </c>
    </row>
    <row r="252" spans="1:6" x14ac:dyDescent="0.25">
      <c r="A252" s="50" t="s">
        <v>38</v>
      </c>
      <c r="B252" s="50" t="s">
        <v>393</v>
      </c>
      <c r="C252" s="50" t="s">
        <v>84</v>
      </c>
      <c r="D252" s="50">
        <v>18</v>
      </c>
      <c r="E252" s="50">
        <v>17</v>
      </c>
      <c r="F252" s="50">
        <v>1</v>
      </c>
    </row>
    <row r="253" spans="1:6" x14ac:dyDescent="0.25">
      <c r="A253" s="50" t="s">
        <v>49</v>
      </c>
      <c r="B253" s="50" t="s">
        <v>585</v>
      </c>
      <c r="C253" s="50" t="s">
        <v>59</v>
      </c>
      <c r="D253" s="50">
        <v>12</v>
      </c>
      <c r="E253" s="50">
        <v>3</v>
      </c>
      <c r="F253" s="50">
        <v>9</v>
      </c>
    </row>
    <row r="254" spans="1:6" x14ac:dyDescent="0.25">
      <c r="A254" s="50" t="s">
        <v>38</v>
      </c>
      <c r="B254" s="50" t="s">
        <v>176</v>
      </c>
      <c r="C254" s="50" t="s">
        <v>62</v>
      </c>
      <c r="D254" s="50">
        <v>15</v>
      </c>
      <c r="E254" s="50">
        <v>17</v>
      </c>
      <c r="F254" s="50">
        <v>-2</v>
      </c>
    </row>
    <row r="255" spans="1:6" x14ac:dyDescent="0.25">
      <c r="A255" s="50" t="s">
        <v>38</v>
      </c>
      <c r="B255" s="50" t="s">
        <v>558</v>
      </c>
      <c r="C255" s="50" t="s">
        <v>490</v>
      </c>
      <c r="D255" s="50">
        <v>2</v>
      </c>
      <c r="E255" s="50">
        <v>4</v>
      </c>
      <c r="F255" s="50">
        <v>-2</v>
      </c>
    </row>
    <row r="256" spans="1:6" x14ac:dyDescent="0.25">
      <c r="A256" s="50" t="s">
        <v>44</v>
      </c>
      <c r="B256" s="50" t="s">
        <v>288</v>
      </c>
      <c r="C256" s="50" t="s">
        <v>54</v>
      </c>
      <c r="D256" s="50">
        <v>4</v>
      </c>
      <c r="E256" s="50">
        <v>5</v>
      </c>
      <c r="F256" s="50">
        <v>-1</v>
      </c>
    </row>
    <row r="257" spans="1:6" x14ac:dyDescent="0.25">
      <c r="A257" s="50" t="s">
        <v>44</v>
      </c>
      <c r="B257" s="50" t="s">
        <v>508</v>
      </c>
      <c r="C257" s="50" t="s">
        <v>483</v>
      </c>
      <c r="D257" s="50">
        <v>12</v>
      </c>
      <c r="E257" s="50">
        <v>9</v>
      </c>
      <c r="F257" s="50">
        <v>3</v>
      </c>
    </row>
    <row r="258" spans="1:6" x14ac:dyDescent="0.25">
      <c r="A258" s="50" t="s">
        <v>44</v>
      </c>
      <c r="B258" s="50" t="s">
        <v>659</v>
      </c>
      <c r="C258" s="50" t="s">
        <v>484</v>
      </c>
      <c r="D258" s="50">
        <v>9</v>
      </c>
      <c r="E258" s="50">
        <v>9</v>
      </c>
      <c r="F258" s="50">
        <v>0</v>
      </c>
    </row>
    <row r="259" spans="1:6" x14ac:dyDescent="0.25">
      <c r="A259" s="50" t="s">
        <v>44</v>
      </c>
      <c r="B259" s="50" t="s">
        <v>623</v>
      </c>
      <c r="C259" s="50" t="s">
        <v>43</v>
      </c>
      <c r="D259" s="50">
        <v>2</v>
      </c>
      <c r="E259" s="50">
        <v>1</v>
      </c>
      <c r="F259" s="50">
        <v>1</v>
      </c>
    </row>
    <row r="260" spans="1:6" x14ac:dyDescent="0.25">
      <c r="A260" s="50" t="s">
        <v>44</v>
      </c>
      <c r="B260" s="50" t="s">
        <v>52</v>
      </c>
      <c r="C260" s="50" t="s">
        <v>41</v>
      </c>
      <c r="D260" s="50">
        <v>11</v>
      </c>
      <c r="E260" s="50">
        <v>9</v>
      </c>
      <c r="F260" s="50">
        <v>2</v>
      </c>
    </row>
    <row r="261" spans="1:6" x14ac:dyDescent="0.25">
      <c r="A261" s="50" t="s">
        <v>49</v>
      </c>
      <c r="B261" s="50" t="s">
        <v>494</v>
      </c>
      <c r="C261" s="50" t="s">
        <v>483</v>
      </c>
      <c r="D261" s="50">
        <v>11</v>
      </c>
      <c r="E261" s="50">
        <v>12</v>
      </c>
      <c r="F261" s="50">
        <v>-1</v>
      </c>
    </row>
    <row r="262" spans="1:6" x14ac:dyDescent="0.25">
      <c r="A262" s="50" t="s">
        <v>35</v>
      </c>
      <c r="B262" s="50" t="s">
        <v>501</v>
      </c>
      <c r="C262" s="50" t="s">
        <v>37</v>
      </c>
      <c r="D262" s="50">
        <v>11</v>
      </c>
      <c r="E262" s="50">
        <v>10</v>
      </c>
      <c r="F262" s="50">
        <v>1</v>
      </c>
    </row>
    <row r="263" spans="1:6" x14ac:dyDescent="0.25">
      <c r="A263" s="50" t="s">
        <v>38</v>
      </c>
      <c r="B263" s="50" t="s">
        <v>538</v>
      </c>
      <c r="C263" s="50" t="s">
        <v>59</v>
      </c>
      <c r="D263" s="50">
        <v>1</v>
      </c>
      <c r="E263" s="50">
        <v>5</v>
      </c>
      <c r="F263" s="50">
        <v>-4</v>
      </c>
    </row>
    <row r="264" spans="1:6" x14ac:dyDescent="0.25">
      <c r="A264" s="50" t="s">
        <v>49</v>
      </c>
      <c r="B264" s="50" t="s">
        <v>308</v>
      </c>
      <c r="C264" s="50" t="s">
        <v>59</v>
      </c>
      <c r="D264" s="50">
        <v>6</v>
      </c>
      <c r="E264" s="50">
        <v>12</v>
      </c>
      <c r="F264" s="50">
        <v>-6</v>
      </c>
    </row>
    <row r="265" spans="1:6" x14ac:dyDescent="0.25">
      <c r="A265" s="50" t="s">
        <v>49</v>
      </c>
      <c r="B265" s="50" t="s">
        <v>66</v>
      </c>
      <c r="C265" s="50" t="s">
        <v>67</v>
      </c>
      <c r="D265" s="50">
        <v>15</v>
      </c>
      <c r="E265" s="50">
        <v>22</v>
      </c>
      <c r="F265" s="50">
        <v>-7</v>
      </c>
    </row>
    <row r="266" spans="1:6" x14ac:dyDescent="0.25">
      <c r="A266" s="50" t="s">
        <v>38</v>
      </c>
      <c r="B266" s="50" t="s">
        <v>86</v>
      </c>
      <c r="C266" s="50" t="s">
        <v>37</v>
      </c>
      <c r="D266" s="50">
        <v>4</v>
      </c>
      <c r="E266" s="50">
        <v>3</v>
      </c>
      <c r="F266" s="50">
        <v>1</v>
      </c>
    </row>
    <row r="267" spans="1:6" x14ac:dyDescent="0.25">
      <c r="A267" s="50" t="s">
        <v>44</v>
      </c>
      <c r="B267" s="50" t="s">
        <v>111</v>
      </c>
      <c r="C267" s="50" t="s">
        <v>40</v>
      </c>
      <c r="D267" s="50">
        <v>6</v>
      </c>
      <c r="E267" s="50">
        <v>9</v>
      </c>
      <c r="F267" s="50">
        <v>-3</v>
      </c>
    </row>
    <row r="268" spans="1:6" x14ac:dyDescent="0.25">
      <c r="A268" s="50" t="s">
        <v>44</v>
      </c>
      <c r="B268" s="50" t="s">
        <v>112</v>
      </c>
      <c r="C268" s="50" t="s">
        <v>59</v>
      </c>
      <c r="D268" s="50">
        <v>11</v>
      </c>
      <c r="E268" s="50">
        <v>5</v>
      </c>
      <c r="F268" s="50">
        <v>6</v>
      </c>
    </row>
    <row r="269" spans="1:6" x14ac:dyDescent="0.25">
      <c r="A269" s="50" t="s">
        <v>44</v>
      </c>
      <c r="B269" s="50" t="s">
        <v>399</v>
      </c>
      <c r="C269" s="50" t="s">
        <v>41</v>
      </c>
      <c r="D269" s="50">
        <v>14</v>
      </c>
      <c r="E269" s="50">
        <v>10</v>
      </c>
      <c r="F269" s="50">
        <v>4</v>
      </c>
    </row>
    <row r="270" spans="1:6" x14ac:dyDescent="0.25">
      <c r="A270" s="50" t="s">
        <v>38</v>
      </c>
      <c r="B270" s="50" t="s">
        <v>432</v>
      </c>
      <c r="C270" s="50" t="s">
        <v>102</v>
      </c>
      <c r="D270" s="50">
        <v>3</v>
      </c>
      <c r="E270" s="50">
        <v>7</v>
      </c>
      <c r="F270" s="50">
        <v>-4</v>
      </c>
    </row>
    <row r="271" spans="1:6" x14ac:dyDescent="0.25">
      <c r="A271" s="50" t="s">
        <v>44</v>
      </c>
      <c r="B271" s="50" t="s">
        <v>660</v>
      </c>
      <c r="C271" s="50" t="s">
        <v>59</v>
      </c>
      <c r="D271" s="50">
        <v>6</v>
      </c>
      <c r="E271" s="50">
        <v>6</v>
      </c>
      <c r="F271" s="50">
        <v>0</v>
      </c>
    </row>
    <row r="272" spans="1:6" x14ac:dyDescent="0.25">
      <c r="A272" s="50" t="s">
        <v>49</v>
      </c>
      <c r="B272" s="50" t="s">
        <v>430</v>
      </c>
      <c r="C272" s="50" t="s">
        <v>69</v>
      </c>
      <c r="D272" s="50">
        <v>2</v>
      </c>
      <c r="E272" s="50">
        <v>1</v>
      </c>
      <c r="F272" s="50">
        <v>1</v>
      </c>
    </row>
    <row r="273" spans="1:6" x14ac:dyDescent="0.25">
      <c r="A273" s="50" t="s">
        <v>38</v>
      </c>
      <c r="B273" s="50" t="s">
        <v>456</v>
      </c>
      <c r="C273" s="50" t="s">
        <v>46</v>
      </c>
      <c r="D273" s="50">
        <v>1</v>
      </c>
      <c r="E273" s="50">
        <v>1</v>
      </c>
      <c r="F273" s="50">
        <v>0</v>
      </c>
    </row>
    <row r="274" spans="1:6" x14ac:dyDescent="0.25">
      <c r="A274" s="50" t="s">
        <v>44</v>
      </c>
      <c r="B274" s="50" t="s">
        <v>327</v>
      </c>
      <c r="C274" s="50" t="s">
        <v>98</v>
      </c>
      <c r="D274" s="50">
        <v>9</v>
      </c>
      <c r="E274" s="50">
        <v>6</v>
      </c>
      <c r="F274" s="50">
        <v>3</v>
      </c>
    </row>
    <row r="275" spans="1:6" x14ac:dyDescent="0.25">
      <c r="A275" s="50" t="s">
        <v>38</v>
      </c>
      <c r="B275" s="50" t="s">
        <v>325</v>
      </c>
      <c r="C275" s="50" t="s">
        <v>102</v>
      </c>
      <c r="D275" s="50">
        <v>11</v>
      </c>
      <c r="E275" s="50">
        <v>6</v>
      </c>
      <c r="F275" s="50">
        <v>5</v>
      </c>
    </row>
    <row r="276" spans="1:6" x14ac:dyDescent="0.25">
      <c r="A276" s="50" t="s">
        <v>44</v>
      </c>
      <c r="B276" s="50" t="s">
        <v>282</v>
      </c>
      <c r="C276" s="50" t="s">
        <v>102</v>
      </c>
      <c r="D276" s="50">
        <v>8</v>
      </c>
      <c r="E276" s="50">
        <v>7</v>
      </c>
      <c r="F276" s="50">
        <v>1</v>
      </c>
    </row>
    <row r="277" spans="1:6" x14ac:dyDescent="0.25">
      <c r="A277" s="50" t="s">
        <v>44</v>
      </c>
      <c r="B277" s="50" t="s">
        <v>389</v>
      </c>
      <c r="C277" s="50" t="s">
        <v>133</v>
      </c>
      <c r="D277" s="50">
        <v>9</v>
      </c>
      <c r="E277" s="50">
        <v>12</v>
      </c>
      <c r="F277" s="50">
        <v>-3</v>
      </c>
    </row>
    <row r="278" spans="1:6" x14ac:dyDescent="0.25">
      <c r="A278" s="50" t="s">
        <v>44</v>
      </c>
      <c r="B278" s="50" t="s">
        <v>343</v>
      </c>
      <c r="C278" s="50" t="s">
        <v>133</v>
      </c>
      <c r="D278" s="50">
        <v>18</v>
      </c>
      <c r="E278" s="50">
        <v>27</v>
      </c>
      <c r="F278" s="50">
        <v>-9</v>
      </c>
    </row>
    <row r="279" spans="1:6" x14ac:dyDescent="0.25">
      <c r="A279" s="50" t="s">
        <v>38</v>
      </c>
      <c r="B279" s="50" t="s">
        <v>431</v>
      </c>
      <c r="C279" s="50" t="s">
        <v>133</v>
      </c>
      <c r="D279" s="50">
        <v>7</v>
      </c>
      <c r="E279" s="50">
        <v>8</v>
      </c>
      <c r="F279" s="50">
        <v>-1</v>
      </c>
    </row>
    <row r="280" spans="1:6" x14ac:dyDescent="0.25">
      <c r="A280" s="50" t="s">
        <v>38</v>
      </c>
      <c r="B280" s="50" t="s">
        <v>322</v>
      </c>
      <c r="C280" s="50" t="s">
        <v>133</v>
      </c>
      <c r="D280" s="50">
        <v>4</v>
      </c>
      <c r="E280" s="50">
        <v>5</v>
      </c>
      <c r="F280" s="50">
        <v>-1</v>
      </c>
    </row>
    <row r="281" spans="1:6" x14ac:dyDescent="0.25">
      <c r="A281" s="50" t="s">
        <v>44</v>
      </c>
      <c r="B281" s="50" t="s">
        <v>457</v>
      </c>
      <c r="C281" s="50" t="s">
        <v>108</v>
      </c>
      <c r="D281" s="50">
        <v>3</v>
      </c>
      <c r="E281" s="50">
        <v>2</v>
      </c>
      <c r="F281" s="50">
        <v>1</v>
      </c>
    </row>
    <row r="282" spans="1:6" x14ac:dyDescent="0.25">
      <c r="A282" s="50" t="s">
        <v>44</v>
      </c>
      <c r="B282" s="50" t="s">
        <v>152</v>
      </c>
      <c r="C282" s="50" t="s">
        <v>133</v>
      </c>
      <c r="D282" s="50">
        <v>11</v>
      </c>
      <c r="E282" s="50">
        <v>11</v>
      </c>
      <c r="F282" s="50">
        <v>0</v>
      </c>
    </row>
    <row r="283" spans="1:6" x14ac:dyDescent="0.25">
      <c r="A283" s="50" t="s">
        <v>38</v>
      </c>
      <c r="B283" s="50" t="s">
        <v>589</v>
      </c>
      <c r="C283" s="50" t="s">
        <v>62</v>
      </c>
      <c r="D283" s="50">
        <v>1</v>
      </c>
      <c r="E283" s="50">
        <v>2</v>
      </c>
      <c r="F283" s="50">
        <v>-1</v>
      </c>
    </row>
    <row r="284" spans="1:6" x14ac:dyDescent="0.25">
      <c r="A284" s="50" t="s">
        <v>38</v>
      </c>
      <c r="B284" s="50" t="s">
        <v>365</v>
      </c>
      <c r="C284" s="50" t="s">
        <v>54</v>
      </c>
      <c r="D284" s="50">
        <v>2</v>
      </c>
      <c r="E284" s="50">
        <v>6</v>
      </c>
      <c r="F284" s="50">
        <v>-4</v>
      </c>
    </row>
    <row r="285" spans="1:6" x14ac:dyDescent="0.25">
      <c r="A285" s="50" t="s">
        <v>38</v>
      </c>
      <c r="B285" s="50" t="s">
        <v>437</v>
      </c>
      <c r="C285" s="50" t="s">
        <v>46</v>
      </c>
      <c r="D285" s="50">
        <v>2</v>
      </c>
      <c r="E285" s="50">
        <v>5</v>
      </c>
      <c r="F285" s="50">
        <v>-3</v>
      </c>
    </row>
    <row r="286" spans="1:6" x14ac:dyDescent="0.25">
      <c r="A286" s="50" t="s">
        <v>44</v>
      </c>
      <c r="B286" s="50" t="s">
        <v>661</v>
      </c>
      <c r="C286" s="50" t="s">
        <v>484</v>
      </c>
      <c r="D286" s="50">
        <v>3</v>
      </c>
      <c r="E286" s="50">
        <v>3</v>
      </c>
      <c r="F286" s="50">
        <v>0</v>
      </c>
    </row>
    <row r="287" spans="1:6" x14ac:dyDescent="0.25">
      <c r="A287" s="50" t="s">
        <v>44</v>
      </c>
      <c r="B287" s="50" t="s">
        <v>214</v>
      </c>
      <c r="C287" s="50" t="s">
        <v>102</v>
      </c>
      <c r="D287" s="50">
        <v>6</v>
      </c>
      <c r="E287" s="50">
        <v>5</v>
      </c>
      <c r="F287" s="50">
        <v>1</v>
      </c>
    </row>
    <row r="288" spans="1:6" x14ac:dyDescent="0.25">
      <c r="A288" s="50" t="s">
        <v>38</v>
      </c>
      <c r="B288" s="50" t="s">
        <v>587</v>
      </c>
      <c r="C288" s="50" t="s">
        <v>102</v>
      </c>
      <c r="D288" s="50">
        <v>6</v>
      </c>
      <c r="E288" s="50">
        <v>2</v>
      </c>
      <c r="F288" s="50">
        <v>4</v>
      </c>
    </row>
    <row r="289" spans="1:6" x14ac:dyDescent="0.25">
      <c r="A289" s="50" t="s">
        <v>44</v>
      </c>
      <c r="B289" s="50" t="s">
        <v>544</v>
      </c>
      <c r="C289" s="50" t="s">
        <v>490</v>
      </c>
      <c r="D289" s="50">
        <v>6</v>
      </c>
      <c r="E289" s="50">
        <v>5</v>
      </c>
      <c r="F289" s="50">
        <v>1</v>
      </c>
    </row>
    <row r="290" spans="1:6" x14ac:dyDescent="0.25">
      <c r="A290" s="50" t="s">
        <v>38</v>
      </c>
      <c r="B290" s="50" t="s">
        <v>458</v>
      </c>
      <c r="C290" s="50" t="s">
        <v>483</v>
      </c>
      <c r="D290" s="50">
        <v>5</v>
      </c>
      <c r="E290" s="50">
        <v>5</v>
      </c>
      <c r="F290" s="50">
        <v>0</v>
      </c>
    </row>
    <row r="291" spans="1:6" x14ac:dyDescent="0.25">
      <c r="A291" s="50" t="s">
        <v>38</v>
      </c>
      <c r="B291" s="50" t="s">
        <v>459</v>
      </c>
      <c r="C291" s="50" t="s">
        <v>62</v>
      </c>
      <c r="D291" s="50">
        <v>4</v>
      </c>
      <c r="E291" s="50">
        <v>4</v>
      </c>
      <c r="F291" s="50">
        <v>0</v>
      </c>
    </row>
    <row r="292" spans="1:6" x14ac:dyDescent="0.25">
      <c r="A292" s="50" t="s">
        <v>38</v>
      </c>
      <c r="B292" s="50" t="s">
        <v>518</v>
      </c>
      <c r="C292" s="50" t="s">
        <v>62</v>
      </c>
      <c r="D292" s="50">
        <v>8</v>
      </c>
      <c r="E292" s="50">
        <v>7</v>
      </c>
      <c r="F292" s="50">
        <v>1</v>
      </c>
    </row>
    <row r="293" spans="1:6" x14ac:dyDescent="0.25">
      <c r="A293" s="50" t="s">
        <v>38</v>
      </c>
      <c r="B293" s="50" t="s">
        <v>413</v>
      </c>
      <c r="C293" s="50" t="s">
        <v>43</v>
      </c>
      <c r="D293" s="50">
        <v>12</v>
      </c>
      <c r="E293" s="50">
        <v>8</v>
      </c>
      <c r="F293" s="50">
        <v>4</v>
      </c>
    </row>
    <row r="294" spans="1:6" x14ac:dyDescent="0.25">
      <c r="A294" s="50" t="s">
        <v>44</v>
      </c>
      <c r="B294" s="50" t="s">
        <v>306</v>
      </c>
      <c r="C294" s="50" t="s">
        <v>67</v>
      </c>
      <c r="D294" s="50">
        <v>7</v>
      </c>
      <c r="E294" s="50">
        <v>9</v>
      </c>
      <c r="F294" s="50">
        <v>-2</v>
      </c>
    </row>
    <row r="295" spans="1:6" x14ac:dyDescent="0.25">
      <c r="A295" s="50" t="s">
        <v>49</v>
      </c>
      <c r="B295" s="50" t="s">
        <v>142</v>
      </c>
      <c r="C295" s="50" t="s">
        <v>104</v>
      </c>
      <c r="D295" s="50">
        <v>23</v>
      </c>
      <c r="E295" s="50">
        <v>18</v>
      </c>
      <c r="F295" s="50">
        <v>5</v>
      </c>
    </row>
    <row r="296" spans="1:6" x14ac:dyDescent="0.25">
      <c r="A296" s="50" t="s">
        <v>38</v>
      </c>
      <c r="B296" s="50" t="s">
        <v>192</v>
      </c>
      <c r="C296" s="50" t="s">
        <v>84</v>
      </c>
      <c r="D296" s="50">
        <v>12</v>
      </c>
      <c r="E296" s="50">
        <v>12</v>
      </c>
      <c r="F296" s="50">
        <v>0</v>
      </c>
    </row>
    <row r="297" spans="1:6" x14ac:dyDescent="0.25">
      <c r="A297" s="50" t="s">
        <v>38</v>
      </c>
      <c r="B297" s="50" t="s">
        <v>520</v>
      </c>
      <c r="C297" s="50" t="s">
        <v>84</v>
      </c>
      <c r="D297" s="50">
        <v>3</v>
      </c>
      <c r="E297" s="50">
        <v>7</v>
      </c>
      <c r="F297" s="50">
        <v>-4</v>
      </c>
    </row>
    <row r="298" spans="1:6" x14ac:dyDescent="0.25">
      <c r="A298" s="50" t="s">
        <v>35</v>
      </c>
      <c r="B298" s="50" t="s">
        <v>144</v>
      </c>
      <c r="C298" s="50" t="s">
        <v>59</v>
      </c>
      <c r="D298" s="50">
        <v>4</v>
      </c>
      <c r="E298" s="50">
        <v>10</v>
      </c>
      <c r="F298" s="50">
        <v>-6</v>
      </c>
    </row>
    <row r="299" spans="1:6" x14ac:dyDescent="0.25">
      <c r="A299" s="50" t="s">
        <v>38</v>
      </c>
      <c r="B299" s="50" t="s">
        <v>560</v>
      </c>
      <c r="C299" s="50" t="s">
        <v>483</v>
      </c>
      <c r="D299" s="50">
        <v>1</v>
      </c>
      <c r="E299" s="50">
        <v>4</v>
      </c>
      <c r="F299" s="50">
        <v>-3</v>
      </c>
    </row>
    <row r="300" spans="1:6" x14ac:dyDescent="0.25">
      <c r="A300" s="50" t="s">
        <v>38</v>
      </c>
      <c r="B300" s="50" t="s">
        <v>87</v>
      </c>
      <c r="C300" s="50" t="s">
        <v>62</v>
      </c>
      <c r="D300" s="50">
        <v>7</v>
      </c>
      <c r="E300" s="50">
        <v>8</v>
      </c>
      <c r="F300" s="50">
        <v>-1</v>
      </c>
    </row>
    <row r="301" spans="1:6" x14ac:dyDescent="0.25">
      <c r="A301" s="50" t="s">
        <v>38</v>
      </c>
      <c r="B301" s="50" t="s">
        <v>512</v>
      </c>
      <c r="C301" s="50" t="s">
        <v>102</v>
      </c>
      <c r="D301" s="50">
        <v>7</v>
      </c>
      <c r="E301" s="50">
        <v>8</v>
      </c>
      <c r="F301" s="50">
        <v>-1</v>
      </c>
    </row>
    <row r="302" spans="1:6" x14ac:dyDescent="0.25">
      <c r="A302" s="50" t="s">
        <v>49</v>
      </c>
      <c r="B302" s="50" t="s">
        <v>474</v>
      </c>
      <c r="C302" s="50" t="s">
        <v>96</v>
      </c>
      <c r="D302" s="50">
        <v>13</v>
      </c>
      <c r="E302" s="50">
        <v>17</v>
      </c>
      <c r="F302" s="50">
        <v>-4</v>
      </c>
    </row>
    <row r="303" spans="1:6" x14ac:dyDescent="0.25">
      <c r="A303" s="50" t="s">
        <v>44</v>
      </c>
      <c r="B303" s="50" t="s">
        <v>375</v>
      </c>
      <c r="C303" s="50" t="s">
        <v>133</v>
      </c>
      <c r="D303" s="50">
        <v>7</v>
      </c>
      <c r="E303" s="50">
        <v>9</v>
      </c>
      <c r="F303" s="50">
        <v>-2</v>
      </c>
    </row>
    <row r="304" spans="1:6" x14ac:dyDescent="0.25">
      <c r="A304" s="50" t="s">
        <v>38</v>
      </c>
      <c r="B304" s="50" t="s">
        <v>42</v>
      </c>
      <c r="C304" s="50" t="s">
        <v>43</v>
      </c>
      <c r="D304" s="50">
        <v>8</v>
      </c>
      <c r="E304" s="50">
        <v>14</v>
      </c>
      <c r="F304" s="50">
        <v>-6</v>
      </c>
    </row>
    <row r="305" spans="1:6" x14ac:dyDescent="0.25">
      <c r="A305" s="50" t="s">
        <v>49</v>
      </c>
      <c r="B305" s="50" t="s">
        <v>169</v>
      </c>
      <c r="C305" s="50" t="s">
        <v>102</v>
      </c>
      <c r="D305" s="50">
        <v>6</v>
      </c>
      <c r="E305" s="50">
        <v>3</v>
      </c>
      <c r="F305" s="50">
        <v>3</v>
      </c>
    </row>
    <row r="306" spans="1:6" x14ac:dyDescent="0.25">
      <c r="A306" s="50" t="s">
        <v>38</v>
      </c>
      <c r="B306" s="50" t="s">
        <v>73</v>
      </c>
      <c r="C306" s="50" t="s">
        <v>54</v>
      </c>
      <c r="D306" s="50">
        <v>6</v>
      </c>
      <c r="E306" s="50">
        <v>8</v>
      </c>
      <c r="F306" s="50">
        <v>-2</v>
      </c>
    </row>
    <row r="307" spans="1:6" x14ac:dyDescent="0.25">
      <c r="A307" s="50" t="s">
        <v>44</v>
      </c>
      <c r="B307" s="50" t="s">
        <v>417</v>
      </c>
      <c r="C307" s="50" t="s">
        <v>104</v>
      </c>
      <c r="D307" s="50">
        <v>16</v>
      </c>
      <c r="E307" s="50">
        <v>15</v>
      </c>
      <c r="F307" s="50">
        <v>1</v>
      </c>
    </row>
    <row r="308" spans="1:6" x14ac:dyDescent="0.25">
      <c r="A308" s="50" t="s">
        <v>44</v>
      </c>
      <c r="B308" s="50" t="s">
        <v>164</v>
      </c>
      <c r="C308" s="50" t="s">
        <v>40</v>
      </c>
      <c r="D308" s="50">
        <v>1</v>
      </c>
      <c r="E308" s="50">
        <v>1</v>
      </c>
      <c r="F308" s="50">
        <v>0</v>
      </c>
    </row>
    <row r="309" spans="1:6" x14ac:dyDescent="0.25">
      <c r="A309" s="50" t="s">
        <v>44</v>
      </c>
      <c r="B309" s="50" t="s">
        <v>314</v>
      </c>
      <c r="C309" s="50" t="s">
        <v>59</v>
      </c>
      <c r="D309" s="50">
        <v>4</v>
      </c>
      <c r="E309" s="50">
        <v>6</v>
      </c>
      <c r="F309" s="50">
        <v>-2</v>
      </c>
    </row>
    <row r="310" spans="1:6" x14ac:dyDescent="0.25">
      <c r="A310" s="50" t="s">
        <v>38</v>
      </c>
      <c r="B310" s="50" t="s">
        <v>57</v>
      </c>
      <c r="C310" s="50" t="s">
        <v>54</v>
      </c>
      <c r="D310" s="50">
        <v>6</v>
      </c>
      <c r="E310" s="50">
        <v>5</v>
      </c>
      <c r="F310" s="50">
        <v>1</v>
      </c>
    </row>
    <row r="311" spans="1:6" x14ac:dyDescent="0.25">
      <c r="A311" s="50" t="s">
        <v>49</v>
      </c>
      <c r="B311" s="50" t="s">
        <v>553</v>
      </c>
      <c r="C311" s="50" t="s">
        <v>483</v>
      </c>
      <c r="D311" s="50">
        <v>3</v>
      </c>
      <c r="E311" s="50">
        <v>5</v>
      </c>
      <c r="F311" s="50">
        <v>-2</v>
      </c>
    </row>
    <row r="312" spans="1:6" x14ac:dyDescent="0.25">
      <c r="A312" s="50" t="s">
        <v>49</v>
      </c>
      <c r="B312" s="50" t="s">
        <v>438</v>
      </c>
      <c r="C312" s="50" t="s">
        <v>59</v>
      </c>
      <c r="D312" s="50">
        <v>5</v>
      </c>
      <c r="E312" s="50">
        <v>11</v>
      </c>
      <c r="F312" s="50">
        <v>-6</v>
      </c>
    </row>
    <row r="313" spans="1:6" x14ac:dyDescent="0.25">
      <c r="A313" s="50" t="s">
        <v>49</v>
      </c>
      <c r="B313" s="50" t="s">
        <v>80</v>
      </c>
      <c r="C313" s="50" t="s">
        <v>69</v>
      </c>
      <c r="D313" s="50">
        <v>5</v>
      </c>
      <c r="E313" s="50">
        <v>6</v>
      </c>
      <c r="F313" s="50">
        <v>-1</v>
      </c>
    </row>
    <row r="314" spans="1:6" x14ac:dyDescent="0.25">
      <c r="A314" s="50" t="s">
        <v>44</v>
      </c>
      <c r="B314" s="50" t="s">
        <v>581</v>
      </c>
      <c r="C314" s="50" t="s">
        <v>108</v>
      </c>
      <c r="D314" s="50">
        <v>9</v>
      </c>
      <c r="E314" s="50">
        <v>3</v>
      </c>
      <c r="F314" s="50">
        <v>6</v>
      </c>
    </row>
    <row r="315" spans="1:6" x14ac:dyDescent="0.25">
      <c r="A315" s="50" t="s">
        <v>35</v>
      </c>
      <c r="B315" s="50" t="s">
        <v>230</v>
      </c>
      <c r="C315" s="50" t="s">
        <v>62</v>
      </c>
      <c r="D315" s="50">
        <v>11</v>
      </c>
      <c r="E315" s="50">
        <v>14</v>
      </c>
      <c r="F315" s="50">
        <v>-3</v>
      </c>
    </row>
    <row r="316" spans="1:6" x14ac:dyDescent="0.25">
      <c r="A316" s="50" t="s">
        <v>49</v>
      </c>
      <c r="B316" s="50" t="s">
        <v>184</v>
      </c>
      <c r="C316" s="50" t="s">
        <v>62</v>
      </c>
      <c r="D316" s="50">
        <v>30</v>
      </c>
      <c r="E316" s="50">
        <v>31</v>
      </c>
      <c r="F316" s="50">
        <v>-1</v>
      </c>
    </row>
    <row r="317" spans="1:6" x14ac:dyDescent="0.25">
      <c r="A317" s="50" t="s">
        <v>49</v>
      </c>
      <c r="B317" s="50" t="s">
        <v>636</v>
      </c>
      <c r="C317" s="50" t="s">
        <v>67</v>
      </c>
      <c r="D317" s="50">
        <v>1</v>
      </c>
      <c r="E317" s="50">
        <v>1</v>
      </c>
      <c r="F317" s="50">
        <v>0</v>
      </c>
    </row>
    <row r="318" spans="1:6" x14ac:dyDescent="0.25">
      <c r="A318" s="50" t="s">
        <v>44</v>
      </c>
      <c r="B318" s="50" t="s">
        <v>328</v>
      </c>
      <c r="C318" s="50" t="s">
        <v>59</v>
      </c>
      <c r="D318" s="50">
        <v>4</v>
      </c>
      <c r="E318" s="50">
        <v>4</v>
      </c>
      <c r="F318" s="50">
        <v>0</v>
      </c>
    </row>
    <row r="319" spans="1:6" x14ac:dyDescent="0.25">
      <c r="A319" s="50" t="s">
        <v>38</v>
      </c>
      <c r="B319" s="50" t="s">
        <v>358</v>
      </c>
      <c r="C319" s="50" t="s">
        <v>37</v>
      </c>
      <c r="D319" s="50">
        <v>8</v>
      </c>
      <c r="E319" s="50">
        <v>6</v>
      </c>
      <c r="F319" s="50">
        <v>2</v>
      </c>
    </row>
    <row r="320" spans="1:6" x14ac:dyDescent="0.25">
      <c r="A320" s="50" t="s">
        <v>49</v>
      </c>
      <c r="B320" s="50" t="s">
        <v>329</v>
      </c>
      <c r="C320" s="50" t="s">
        <v>62</v>
      </c>
      <c r="D320" s="50">
        <v>28</v>
      </c>
      <c r="E320" s="50">
        <v>26</v>
      </c>
      <c r="F320" s="50">
        <v>2</v>
      </c>
    </row>
    <row r="321" spans="1:6" x14ac:dyDescent="0.25">
      <c r="A321" s="50" t="s">
        <v>44</v>
      </c>
      <c r="B321" s="50" t="s">
        <v>251</v>
      </c>
      <c r="C321" s="50" t="s">
        <v>133</v>
      </c>
      <c r="D321" s="50">
        <v>22</v>
      </c>
      <c r="E321" s="50">
        <v>30</v>
      </c>
      <c r="F321" s="50">
        <v>-8</v>
      </c>
    </row>
    <row r="322" spans="1:6" x14ac:dyDescent="0.25">
      <c r="A322" s="50" t="s">
        <v>49</v>
      </c>
      <c r="B322" s="50" t="s">
        <v>481</v>
      </c>
      <c r="C322" s="50" t="s">
        <v>37</v>
      </c>
      <c r="D322" s="50">
        <v>12</v>
      </c>
      <c r="E322" s="50">
        <v>14</v>
      </c>
      <c r="F322" s="50">
        <v>-2</v>
      </c>
    </row>
    <row r="323" spans="1:6" x14ac:dyDescent="0.25">
      <c r="A323" s="50" t="s">
        <v>38</v>
      </c>
      <c r="B323" s="50" t="s">
        <v>123</v>
      </c>
      <c r="C323" s="50" t="s">
        <v>96</v>
      </c>
      <c r="D323" s="50">
        <v>5</v>
      </c>
      <c r="E323" s="50">
        <v>7</v>
      </c>
      <c r="F323" s="50">
        <v>-2</v>
      </c>
    </row>
    <row r="324" spans="1:6" x14ac:dyDescent="0.25">
      <c r="A324" s="50" t="s">
        <v>35</v>
      </c>
      <c r="B324" s="50" t="s">
        <v>55</v>
      </c>
      <c r="C324" s="50" t="s">
        <v>84</v>
      </c>
      <c r="D324" s="50">
        <v>1</v>
      </c>
      <c r="E324" s="50">
        <v>1</v>
      </c>
      <c r="F324" s="50">
        <v>0</v>
      </c>
    </row>
    <row r="325" spans="1:6" x14ac:dyDescent="0.25">
      <c r="A325" s="50" t="s">
        <v>44</v>
      </c>
      <c r="B325" s="50" t="s">
        <v>215</v>
      </c>
      <c r="C325" s="50" t="s">
        <v>41</v>
      </c>
      <c r="D325" s="50">
        <v>7</v>
      </c>
      <c r="E325" s="50">
        <v>6</v>
      </c>
      <c r="F325" s="50">
        <v>1</v>
      </c>
    </row>
    <row r="326" spans="1:6" x14ac:dyDescent="0.25">
      <c r="A326" s="50" t="s">
        <v>38</v>
      </c>
      <c r="B326" s="50" t="s">
        <v>223</v>
      </c>
      <c r="C326" s="50" t="s">
        <v>490</v>
      </c>
      <c r="D326" s="50">
        <v>3</v>
      </c>
      <c r="E326" s="50">
        <v>7</v>
      </c>
      <c r="F326" s="50">
        <v>-4</v>
      </c>
    </row>
    <row r="327" spans="1:6" x14ac:dyDescent="0.25">
      <c r="A327" s="50" t="s">
        <v>44</v>
      </c>
      <c r="B327" s="50" t="s">
        <v>165</v>
      </c>
      <c r="C327" s="50" t="s">
        <v>40</v>
      </c>
      <c r="D327" s="50">
        <v>1</v>
      </c>
      <c r="E327" s="50">
        <v>4</v>
      </c>
      <c r="F327" s="50">
        <v>-3</v>
      </c>
    </row>
    <row r="328" spans="1:6" x14ac:dyDescent="0.25">
      <c r="A328" s="50" t="s">
        <v>38</v>
      </c>
      <c r="B328" s="50" t="s">
        <v>224</v>
      </c>
      <c r="C328" s="50" t="s">
        <v>108</v>
      </c>
      <c r="D328" s="50">
        <v>4</v>
      </c>
      <c r="E328" s="50">
        <v>3</v>
      </c>
      <c r="F328" s="50">
        <v>1</v>
      </c>
    </row>
    <row r="329" spans="1:6" x14ac:dyDescent="0.25">
      <c r="A329" s="50" t="s">
        <v>44</v>
      </c>
      <c r="B329" s="50" t="s">
        <v>324</v>
      </c>
      <c r="C329" s="50" t="s">
        <v>41</v>
      </c>
      <c r="D329" s="50">
        <v>1</v>
      </c>
      <c r="E329" s="50">
        <v>3</v>
      </c>
      <c r="F329" s="50">
        <v>-2</v>
      </c>
    </row>
    <row r="330" spans="1:6" x14ac:dyDescent="0.25">
      <c r="A330" s="50" t="s">
        <v>49</v>
      </c>
      <c r="B330" s="50" t="s">
        <v>662</v>
      </c>
      <c r="C330" s="50" t="s">
        <v>37</v>
      </c>
      <c r="D330" s="50">
        <v>24</v>
      </c>
      <c r="E330" s="50">
        <v>21</v>
      </c>
      <c r="F330" s="50">
        <v>3</v>
      </c>
    </row>
    <row r="331" spans="1:6" x14ac:dyDescent="0.25">
      <c r="A331" s="50" t="s">
        <v>38</v>
      </c>
      <c r="B331" s="50" t="s">
        <v>292</v>
      </c>
      <c r="C331" s="50" t="s">
        <v>98</v>
      </c>
      <c r="D331" s="50">
        <v>8</v>
      </c>
      <c r="E331" s="50">
        <v>6</v>
      </c>
      <c r="F331" s="50">
        <v>2</v>
      </c>
    </row>
    <row r="332" spans="1:6" x14ac:dyDescent="0.25">
      <c r="A332" s="50" t="s">
        <v>38</v>
      </c>
      <c r="B332" s="50" t="s">
        <v>362</v>
      </c>
      <c r="C332" s="50" t="s">
        <v>40</v>
      </c>
      <c r="D332" s="50">
        <v>6</v>
      </c>
      <c r="E332" s="50">
        <v>5</v>
      </c>
      <c r="F332" s="50">
        <v>1</v>
      </c>
    </row>
    <row r="333" spans="1:6" x14ac:dyDescent="0.25">
      <c r="A333" s="50" t="s">
        <v>35</v>
      </c>
      <c r="B333" s="50" t="s">
        <v>511</v>
      </c>
      <c r="C333" s="50" t="s">
        <v>67</v>
      </c>
      <c r="D333" s="50">
        <v>7</v>
      </c>
      <c r="E333" s="50">
        <v>8</v>
      </c>
      <c r="F333" s="50">
        <v>-1</v>
      </c>
    </row>
    <row r="334" spans="1:6" x14ac:dyDescent="0.25">
      <c r="A334" s="50" t="s">
        <v>44</v>
      </c>
      <c r="B334" s="50" t="s">
        <v>289</v>
      </c>
      <c r="C334" s="50" t="s">
        <v>54</v>
      </c>
      <c r="D334" s="50">
        <v>5</v>
      </c>
      <c r="E334" s="50">
        <v>4</v>
      </c>
      <c r="F334" s="50">
        <v>1</v>
      </c>
    </row>
    <row r="335" spans="1:6" x14ac:dyDescent="0.25">
      <c r="A335" s="50" t="s">
        <v>44</v>
      </c>
      <c r="B335" s="50" t="s">
        <v>196</v>
      </c>
      <c r="C335" s="50" t="s">
        <v>96</v>
      </c>
      <c r="D335" s="50">
        <v>20</v>
      </c>
      <c r="E335" s="50">
        <v>25</v>
      </c>
      <c r="F335" s="50">
        <v>-5</v>
      </c>
    </row>
    <row r="336" spans="1:6" x14ac:dyDescent="0.25">
      <c r="A336" s="50" t="s">
        <v>35</v>
      </c>
      <c r="B336" s="50" t="s">
        <v>402</v>
      </c>
      <c r="C336" s="50" t="s">
        <v>67</v>
      </c>
      <c r="D336" s="50">
        <v>1</v>
      </c>
      <c r="E336" s="50">
        <v>1</v>
      </c>
      <c r="F336" s="50">
        <v>0</v>
      </c>
    </row>
    <row r="337" spans="1:6" x14ac:dyDescent="0.25">
      <c r="A337" s="50" t="s">
        <v>38</v>
      </c>
      <c r="B337" s="50" t="s">
        <v>663</v>
      </c>
      <c r="C337" s="50" t="s">
        <v>483</v>
      </c>
      <c r="D337" s="50">
        <v>1</v>
      </c>
      <c r="E337" s="50">
        <v>1</v>
      </c>
      <c r="F337" s="50">
        <v>0</v>
      </c>
    </row>
    <row r="338" spans="1:6" x14ac:dyDescent="0.25">
      <c r="A338" s="50" t="s">
        <v>38</v>
      </c>
      <c r="B338" s="50" t="s">
        <v>409</v>
      </c>
      <c r="C338" s="50" t="s">
        <v>108</v>
      </c>
      <c r="D338" s="50">
        <v>15</v>
      </c>
      <c r="E338" s="50">
        <v>12</v>
      </c>
      <c r="F338" s="50">
        <v>3</v>
      </c>
    </row>
    <row r="339" spans="1:6" x14ac:dyDescent="0.25">
      <c r="A339" s="50" t="s">
        <v>44</v>
      </c>
      <c r="B339" s="50" t="s">
        <v>543</v>
      </c>
      <c r="C339" s="50" t="s">
        <v>37</v>
      </c>
      <c r="D339" s="50">
        <v>3</v>
      </c>
      <c r="E339" s="50">
        <v>5</v>
      </c>
      <c r="F339" s="50">
        <v>-2</v>
      </c>
    </row>
    <row r="340" spans="1:6" x14ac:dyDescent="0.25">
      <c r="A340" s="50" t="s">
        <v>38</v>
      </c>
      <c r="B340" s="50" t="s">
        <v>405</v>
      </c>
      <c r="C340" s="50" t="s">
        <v>67</v>
      </c>
      <c r="D340" s="50">
        <v>7</v>
      </c>
      <c r="E340" s="50">
        <v>5</v>
      </c>
      <c r="F340" s="50">
        <v>2</v>
      </c>
    </row>
    <row r="341" spans="1:6" x14ac:dyDescent="0.25">
      <c r="A341" s="50" t="s">
        <v>44</v>
      </c>
      <c r="B341" s="50" t="s">
        <v>497</v>
      </c>
      <c r="C341" s="50" t="s">
        <v>84</v>
      </c>
      <c r="D341" s="50">
        <v>10</v>
      </c>
      <c r="E341" s="50">
        <v>11</v>
      </c>
      <c r="F341" s="50">
        <v>-1</v>
      </c>
    </row>
    <row r="342" spans="1:6" x14ac:dyDescent="0.25">
      <c r="A342" s="50" t="s">
        <v>49</v>
      </c>
      <c r="B342" s="50" t="s">
        <v>664</v>
      </c>
      <c r="C342" s="50" t="s">
        <v>483</v>
      </c>
      <c r="D342" s="50">
        <v>9</v>
      </c>
      <c r="E342" s="50">
        <v>9</v>
      </c>
      <c r="F342" s="50">
        <v>0</v>
      </c>
    </row>
    <row r="343" spans="1:6" x14ac:dyDescent="0.25">
      <c r="A343" s="50" t="s">
        <v>49</v>
      </c>
      <c r="B343" s="50" t="s">
        <v>638</v>
      </c>
      <c r="C343" s="50" t="s">
        <v>102</v>
      </c>
      <c r="D343" s="50">
        <v>1</v>
      </c>
      <c r="E343" s="50">
        <v>1</v>
      </c>
      <c r="F343" s="50">
        <v>0</v>
      </c>
    </row>
    <row r="344" spans="1:6" x14ac:dyDescent="0.25">
      <c r="A344" s="50" t="s">
        <v>49</v>
      </c>
      <c r="B344" s="50" t="s">
        <v>665</v>
      </c>
      <c r="C344" s="50" t="s">
        <v>67</v>
      </c>
      <c r="D344" s="50">
        <v>11</v>
      </c>
      <c r="E344" s="50">
        <v>10</v>
      </c>
      <c r="F344" s="50">
        <v>1</v>
      </c>
    </row>
    <row r="345" spans="1:6" x14ac:dyDescent="0.25">
      <c r="A345" s="50" t="s">
        <v>49</v>
      </c>
      <c r="B345" s="50" t="s">
        <v>460</v>
      </c>
      <c r="C345" s="50" t="s">
        <v>54</v>
      </c>
      <c r="D345" s="50">
        <v>3</v>
      </c>
      <c r="E345" s="50">
        <v>5</v>
      </c>
      <c r="F345" s="50">
        <v>-2</v>
      </c>
    </row>
    <row r="346" spans="1:6" x14ac:dyDescent="0.25">
      <c r="A346" s="50" t="s">
        <v>44</v>
      </c>
      <c r="B346" s="50" t="s">
        <v>666</v>
      </c>
      <c r="C346" s="50" t="s">
        <v>46</v>
      </c>
      <c r="D346" s="50">
        <v>4</v>
      </c>
      <c r="E346" s="50">
        <v>4</v>
      </c>
      <c r="F346" s="50">
        <v>0</v>
      </c>
    </row>
    <row r="347" spans="1:6" x14ac:dyDescent="0.25">
      <c r="A347" s="50" t="s">
        <v>35</v>
      </c>
      <c r="B347" s="50" t="s">
        <v>476</v>
      </c>
      <c r="C347" s="50" t="s">
        <v>84</v>
      </c>
      <c r="D347" s="50">
        <v>11</v>
      </c>
      <c r="E347" s="50">
        <v>14</v>
      </c>
      <c r="F347" s="50">
        <v>-3</v>
      </c>
    </row>
    <row r="348" spans="1:6" x14ac:dyDescent="0.25">
      <c r="A348" s="50" t="s">
        <v>38</v>
      </c>
      <c r="B348" s="50" t="s">
        <v>567</v>
      </c>
      <c r="C348" s="50" t="s">
        <v>67</v>
      </c>
      <c r="D348" s="50">
        <v>3</v>
      </c>
      <c r="E348" s="50">
        <v>3</v>
      </c>
      <c r="F348" s="50">
        <v>0</v>
      </c>
    </row>
    <row r="349" spans="1:6" x14ac:dyDescent="0.25">
      <c r="A349" s="50" t="s">
        <v>49</v>
      </c>
      <c r="B349" s="50" t="s">
        <v>361</v>
      </c>
      <c r="C349" s="50" t="s">
        <v>54</v>
      </c>
      <c r="D349" s="50">
        <v>7</v>
      </c>
      <c r="E349" s="50">
        <v>3</v>
      </c>
      <c r="F349" s="50">
        <v>4</v>
      </c>
    </row>
    <row r="350" spans="1:6" x14ac:dyDescent="0.25">
      <c r="A350" s="50" t="s">
        <v>35</v>
      </c>
      <c r="B350" s="50" t="s">
        <v>616</v>
      </c>
      <c r="C350" s="50" t="s">
        <v>62</v>
      </c>
      <c r="D350" s="50">
        <v>5</v>
      </c>
      <c r="E350" s="50">
        <v>1</v>
      </c>
      <c r="F350" s="50">
        <v>4</v>
      </c>
    </row>
    <row r="351" spans="1:6" x14ac:dyDescent="0.25">
      <c r="A351" s="50" t="s">
        <v>49</v>
      </c>
      <c r="B351" s="50" t="s">
        <v>380</v>
      </c>
      <c r="C351" s="50" t="s">
        <v>62</v>
      </c>
      <c r="D351" s="50">
        <v>7</v>
      </c>
      <c r="E351" s="50">
        <v>7</v>
      </c>
      <c r="F351" s="50">
        <v>0</v>
      </c>
    </row>
    <row r="352" spans="1:6" x14ac:dyDescent="0.25">
      <c r="A352" s="50" t="s">
        <v>35</v>
      </c>
      <c r="B352" s="50" t="s">
        <v>222</v>
      </c>
      <c r="C352" s="50" t="s">
        <v>96</v>
      </c>
      <c r="D352" s="50">
        <v>1</v>
      </c>
      <c r="E352" s="50">
        <v>1</v>
      </c>
      <c r="F352" s="50">
        <v>0</v>
      </c>
    </row>
    <row r="353" spans="1:6" x14ac:dyDescent="0.25">
      <c r="A353" s="50" t="s">
        <v>44</v>
      </c>
      <c r="B353" s="50" t="s">
        <v>139</v>
      </c>
      <c r="C353" s="50" t="s">
        <v>46</v>
      </c>
      <c r="D353" s="50">
        <v>6</v>
      </c>
      <c r="E353" s="50">
        <v>4</v>
      </c>
      <c r="F353" s="50">
        <v>2</v>
      </c>
    </row>
    <row r="354" spans="1:6" x14ac:dyDescent="0.25">
      <c r="A354" s="50" t="s">
        <v>44</v>
      </c>
      <c r="B354" s="50" t="s">
        <v>597</v>
      </c>
      <c r="C354" s="50" t="s">
        <v>490</v>
      </c>
      <c r="D354" s="50">
        <v>1</v>
      </c>
      <c r="E354" s="50">
        <v>2</v>
      </c>
      <c r="F354" s="50">
        <v>-1</v>
      </c>
    </row>
    <row r="355" spans="1:6" x14ac:dyDescent="0.25">
      <c r="A355" s="50" t="s">
        <v>38</v>
      </c>
      <c r="B355" s="50" t="s">
        <v>593</v>
      </c>
      <c r="C355" s="50" t="s">
        <v>483</v>
      </c>
      <c r="D355" s="50">
        <v>2</v>
      </c>
      <c r="E355" s="50">
        <v>2</v>
      </c>
      <c r="F355" s="50">
        <v>0</v>
      </c>
    </row>
    <row r="356" spans="1:6" x14ac:dyDescent="0.25">
      <c r="A356" s="50" t="s">
        <v>49</v>
      </c>
      <c r="B356" s="50" t="s">
        <v>129</v>
      </c>
      <c r="C356" s="50" t="s">
        <v>54</v>
      </c>
      <c r="D356" s="50">
        <v>10</v>
      </c>
      <c r="E356" s="50">
        <v>8</v>
      </c>
      <c r="F356" s="50">
        <v>2</v>
      </c>
    </row>
    <row r="357" spans="1:6" x14ac:dyDescent="0.25">
      <c r="A357" s="50" t="s">
        <v>38</v>
      </c>
      <c r="B357" s="50" t="s">
        <v>372</v>
      </c>
      <c r="C357" s="50" t="s">
        <v>43</v>
      </c>
      <c r="D357" s="50">
        <v>8</v>
      </c>
      <c r="E357" s="50">
        <v>7</v>
      </c>
      <c r="F357" s="50">
        <v>1</v>
      </c>
    </row>
    <row r="358" spans="1:6" x14ac:dyDescent="0.25">
      <c r="A358" s="50" t="s">
        <v>49</v>
      </c>
      <c r="B358" s="50" t="s">
        <v>81</v>
      </c>
      <c r="C358" s="50" t="s">
        <v>41</v>
      </c>
      <c r="D358" s="50">
        <v>9</v>
      </c>
      <c r="E358" s="50">
        <v>13</v>
      </c>
      <c r="F358" s="50">
        <v>-4</v>
      </c>
    </row>
    <row r="359" spans="1:6" x14ac:dyDescent="0.25">
      <c r="A359" s="50" t="s">
        <v>49</v>
      </c>
      <c r="B359" s="50" t="s">
        <v>115</v>
      </c>
      <c r="C359" s="50" t="s">
        <v>59</v>
      </c>
      <c r="D359" s="50">
        <v>7</v>
      </c>
      <c r="E359" s="50">
        <v>9</v>
      </c>
      <c r="F359" s="50">
        <v>-2</v>
      </c>
    </row>
    <row r="360" spans="1:6" x14ac:dyDescent="0.25">
      <c r="A360" s="50" t="s">
        <v>44</v>
      </c>
      <c r="B360" s="50" t="s">
        <v>667</v>
      </c>
      <c r="C360" s="50" t="s">
        <v>40</v>
      </c>
      <c r="D360" s="50">
        <v>13</v>
      </c>
      <c r="E360" s="50">
        <v>13</v>
      </c>
      <c r="F360" s="50">
        <v>0</v>
      </c>
    </row>
    <row r="361" spans="1:6" x14ac:dyDescent="0.25">
      <c r="A361" s="50" t="s">
        <v>49</v>
      </c>
      <c r="B361" s="50" t="s">
        <v>316</v>
      </c>
      <c r="C361" s="50" t="s">
        <v>108</v>
      </c>
      <c r="D361" s="50">
        <v>5</v>
      </c>
      <c r="E361" s="50">
        <v>7</v>
      </c>
      <c r="F361" s="50">
        <v>-2</v>
      </c>
    </row>
    <row r="362" spans="1:6" x14ac:dyDescent="0.25">
      <c r="A362" s="50" t="s">
        <v>44</v>
      </c>
      <c r="B362" s="50" t="s">
        <v>153</v>
      </c>
      <c r="C362" s="50" t="s">
        <v>133</v>
      </c>
      <c r="D362" s="50">
        <v>16</v>
      </c>
      <c r="E362" s="50">
        <v>13</v>
      </c>
      <c r="F362" s="50">
        <v>3</v>
      </c>
    </row>
    <row r="363" spans="1:6" x14ac:dyDescent="0.25">
      <c r="A363" s="50" t="s">
        <v>44</v>
      </c>
      <c r="B363" s="50" t="s">
        <v>478</v>
      </c>
      <c r="C363" s="50" t="s">
        <v>43</v>
      </c>
      <c r="D363" s="50">
        <v>11</v>
      </c>
      <c r="E363" s="50">
        <v>14</v>
      </c>
      <c r="F363" s="50">
        <v>-3</v>
      </c>
    </row>
    <row r="364" spans="1:6" x14ac:dyDescent="0.25">
      <c r="A364" s="50" t="s">
        <v>38</v>
      </c>
      <c r="B364" s="50" t="s">
        <v>521</v>
      </c>
      <c r="C364" s="50" t="s">
        <v>483</v>
      </c>
      <c r="D364" s="50">
        <v>8</v>
      </c>
      <c r="E364" s="50">
        <v>7</v>
      </c>
      <c r="F364" s="50">
        <v>1</v>
      </c>
    </row>
    <row r="365" spans="1:6" x14ac:dyDescent="0.25">
      <c r="A365" s="50" t="s">
        <v>44</v>
      </c>
      <c r="B365" s="50" t="s">
        <v>471</v>
      </c>
      <c r="C365" s="50" t="s">
        <v>84</v>
      </c>
      <c r="D365" s="50">
        <v>16</v>
      </c>
      <c r="E365" s="50">
        <v>21</v>
      </c>
      <c r="F365" s="50">
        <v>-5</v>
      </c>
    </row>
    <row r="366" spans="1:6" x14ac:dyDescent="0.25">
      <c r="A366" s="50" t="s">
        <v>38</v>
      </c>
      <c r="B366" s="50" t="s">
        <v>147</v>
      </c>
      <c r="C366" s="50" t="s">
        <v>133</v>
      </c>
      <c r="D366" s="50">
        <v>3</v>
      </c>
      <c r="E366" s="50">
        <v>2</v>
      </c>
      <c r="F366" s="50">
        <v>1</v>
      </c>
    </row>
    <row r="367" spans="1:6" x14ac:dyDescent="0.25">
      <c r="A367" s="50" t="s">
        <v>49</v>
      </c>
      <c r="B367" s="50" t="s">
        <v>116</v>
      </c>
      <c r="C367" s="50" t="s">
        <v>46</v>
      </c>
      <c r="D367" s="50">
        <v>20</v>
      </c>
      <c r="E367" s="50">
        <v>17</v>
      </c>
      <c r="F367" s="50">
        <v>3</v>
      </c>
    </row>
    <row r="368" spans="1:6" x14ac:dyDescent="0.25">
      <c r="A368" s="50" t="s">
        <v>38</v>
      </c>
      <c r="B368" s="50" t="s">
        <v>563</v>
      </c>
      <c r="C368" s="50" t="s">
        <v>54</v>
      </c>
      <c r="D368" s="50">
        <v>1</v>
      </c>
      <c r="E368" s="50">
        <v>4</v>
      </c>
      <c r="F368" s="50">
        <v>-3</v>
      </c>
    </row>
    <row r="369" spans="1:6" x14ac:dyDescent="0.25">
      <c r="A369" s="50" t="s">
        <v>49</v>
      </c>
      <c r="B369" s="50" t="s">
        <v>429</v>
      </c>
      <c r="C369" s="50" t="s">
        <v>133</v>
      </c>
      <c r="D369" s="50">
        <v>1</v>
      </c>
      <c r="E369" s="50">
        <v>1</v>
      </c>
      <c r="F369" s="50">
        <v>0</v>
      </c>
    </row>
    <row r="370" spans="1:6" x14ac:dyDescent="0.25">
      <c r="A370" s="50" t="s">
        <v>44</v>
      </c>
      <c r="B370" s="50" t="s">
        <v>629</v>
      </c>
      <c r="C370" s="50" t="s">
        <v>98</v>
      </c>
      <c r="D370" s="50">
        <v>1</v>
      </c>
      <c r="E370" s="50">
        <v>1</v>
      </c>
      <c r="F370" s="50">
        <v>0</v>
      </c>
    </row>
    <row r="371" spans="1:6" x14ac:dyDescent="0.25">
      <c r="A371" s="50" t="s">
        <v>35</v>
      </c>
      <c r="B371" s="50" t="s">
        <v>209</v>
      </c>
      <c r="C371" s="50" t="s">
        <v>102</v>
      </c>
      <c r="D371" s="50">
        <v>1</v>
      </c>
      <c r="E371" s="50">
        <v>1</v>
      </c>
      <c r="F371" s="50">
        <v>0</v>
      </c>
    </row>
    <row r="372" spans="1:6" x14ac:dyDescent="0.25">
      <c r="A372" s="50" t="s">
        <v>44</v>
      </c>
      <c r="B372" s="50" t="s">
        <v>480</v>
      </c>
      <c r="C372" s="50" t="s">
        <v>84</v>
      </c>
      <c r="D372" s="50">
        <v>13</v>
      </c>
      <c r="E372" s="50">
        <v>14</v>
      </c>
      <c r="F372" s="50">
        <v>-1</v>
      </c>
    </row>
    <row r="373" spans="1:6" x14ac:dyDescent="0.25">
      <c r="A373" s="50" t="s">
        <v>38</v>
      </c>
      <c r="B373" s="50" t="s">
        <v>570</v>
      </c>
      <c r="C373" s="50" t="s">
        <v>46</v>
      </c>
      <c r="D373" s="50">
        <v>1</v>
      </c>
      <c r="E373" s="50">
        <v>3</v>
      </c>
      <c r="F373" s="50">
        <v>-2</v>
      </c>
    </row>
    <row r="374" spans="1:6" x14ac:dyDescent="0.25">
      <c r="A374" s="50" t="s">
        <v>49</v>
      </c>
      <c r="B374" s="50" t="s">
        <v>82</v>
      </c>
      <c r="C374" s="50" t="s">
        <v>69</v>
      </c>
      <c r="D374" s="50">
        <v>7</v>
      </c>
      <c r="E374" s="50">
        <v>3</v>
      </c>
      <c r="F374" s="50">
        <v>4</v>
      </c>
    </row>
    <row r="375" spans="1:6" x14ac:dyDescent="0.25">
      <c r="A375" s="50" t="s">
        <v>38</v>
      </c>
      <c r="B375" s="50" t="s">
        <v>212</v>
      </c>
      <c r="C375" s="50" t="s">
        <v>102</v>
      </c>
      <c r="D375" s="50">
        <v>3</v>
      </c>
      <c r="E375" s="50">
        <v>4</v>
      </c>
      <c r="F375" s="50">
        <v>-1</v>
      </c>
    </row>
    <row r="376" spans="1:6" x14ac:dyDescent="0.25">
      <c r="A376" s="50" t="s">
        <v>38</v>
      </c>
      <c r="B376" s="50" t="s">
        <v>266</v>
      </c>
      <c r="C376" s="50" t="s">
        <v>59</v>
      </c>
      <c r="D376" s="50">
        <v>3</v>
      </c>
      <c r="E376" s="50">
        <v>3</v>
      </c>
      <c r="F376" s="50">
        <v>0</v>
      </c>
    </row>
    <row r="377" spans="1:6" x14ac:dyDescent="0.25">
      <c r="A377" s="50" t="s">
        <v>35</v>
      </c>
      <c r="B377" s="50" t="s">
        <v>107</v>
      </c>
      <c r="C377" s="50" t="s">
        <v>104</v>
      </c>
      <c r="D377" s="50">
        <v>4</v>
      </c>
      <c r="E377" s="50">
        <v>1</v>
      </c>
      <c r="F377" s="50">
        <v>3</v>
      </c>
    </row>
    <row r="378" spans="1:6" x14ac:dyDescent="0.25">
      <c r="A378" s="50" t="s">
        <v>35</v>
      </c>
      <c r="B378" s="50" t="s">
        <v>668</v>
      </c>
      <c r="C378" s="50" t="s">
        <v>67</v>
      </c>
      <c r="D378" s="50">
        <v>1</v>
      </c>
      <c r="E378" s="50">
        <v>1</v>
      </c>
      <c r="F378" s="50">
        <v>0</v>
      </c>
    </row>
    <row r="379" spans="1:6" x14ac:dyDescent="0.25">
      <c r="A379" s="50" t="s">
        <v>44</v>
      </c>
      <c r="B379" s="50" t="s">
        <v>260</v>
      </c>
      <c r="C379" s="50" t="s">
        <v>96</v>
      </c>
      <c r="D379" s="50">
        <v>23</v>
      </c>
      <c r="E379" s="50">
        <v>28</v>
      </c>
      <c r="F379" s="50">
        <v>-5</v>
      </c>
    </row>
    <row r="380" spans="1:6" x14ac:dyDescent="0.25">
      <c r="A380" s="50" t="s">
        <v>44</v>
      </c>
      <c r="B380" s="50" t="s">
        <v>113</v>
      </c>
      <c r="C380" s="50" t="s">
        <v>84</v>
      </c>
      <c r="D380" s="50">
        <v>9</v>
      </c>
      <c r="E380" s="50">
        <v>16</v>
      </c>
      <c r="F380" s="50">
        <v>-7</v>
      </c>
    </row>
    <row r="381" spans="1:6" x14ac:dyDescent="0.25">
      <c r="A381" s="50" t="s">
        <v>35</v>
      </c>
      <c r="B381" s="50" t="s">
        <v>669</v>
      </c>
      <c r="C381" s="50" t="s">
        <v>483</v>
      </c>
      <c r="D381" s="50">
        <v>1</v>
      </c>
      <c r="E381" s="50">
        <v>1</v>
      </c>
      <c r="F381" s="50">
        <v>0</v>
      </c>
    </row>
    <row r="382" spans="1:6" x14ac:dyDescent="0.25">
      <c r="A382" s="50" t="s">
        <v>44</v>
      </c>
      <c r="B382" s="50" t="s">
        <v>542</v>
      </c>
      <c r="C382" s="50" t="s">
        <v>43</v>
      </c>
      <c r="D382" s="50">
        <v>4</v>
      </c>
      <c r="E382" s="50">
        <v>5</v>
      </c>
      <c r="F382" s="50">
        <v>-1</v>
      </c>
    </row>
    <row r="383" spans="1:6" x14ac:dyDescent="0.25">
      <c r="A383" s="50" t="s">
        <v>49</v>
      </c>
      <c r="B383" s="50" t="s">
        <v>171</v>
      </c>
      <c r="C383" s="50" t="s">
        <v>41</v>
      </c>
      <c r="D383" s="50">
        <v>16</v>
      </c>
      <c r="E383" s="50">
        <v>15</v>
      </c>
      <c r="F383" s="50">
        <v>1</v>
      </c>
    </row>
    <row r="384" spans="1:6" x14ac:dyDescent="0.25">
      <c r="A384" s="50" t="s">
        <v>38</v>
      </c>
      <c r="B384" s="50" t="s">
        <v>418</v>
      </c>
      <c r="C384" s="50" t="s">
        <v>37</v>
      </c>
      <c r="D384" s="50">
        <v>11</v>
      </c>
      <c r="E384" s="50">
        <v>10</v>
      </c>
      <c r="F384" s="50">
        <v>1</v>
      </c>
    </row>
    <row r="385" spans="1:6" x14ac:dyDescent="0.25">
      <c r="A385" s="50" t="s">
        <v>38</v>
      </c>
      <c r="B385" s="50" t="s">
        <v>267</v>
      </c>
      <c r="C385" s="50" t="s">
        <v>59</v>
      </c>
      <c r="D385" s="50">
        <v>2</v>
      </c>
      <c r="E385" s="50">
        <v>5</v>
      </c>
      <c r="F385" s="50">
        <v>-3</v>
      </c>
    </row>
    <row r="386" spans="1:6" x14ac:dyDescent="0.25">
      <c r="A386" s="50" t="s">
        <v>49</v>
      </c>
      <c r="B386" s="50" t="s">
        <v>485</v>
      </c>
      <c r="C386" s="50" t="s">
        <v>40</v>
      </c>
      <c r="D386" s="50">
        <v>26</v>
      </c>
      <c r="E386" s="50">
        <v>13</v>
      </c>
      <c r="F386" s="50">
        <v>13</v>
      </c>
    </row>
    <row r="387" spans="1:6" x14ac:dyDescent="0.25">
      <c r="A387" s="50" t="s">
        <v>44</v>
      </c>
      <c r="B387" s="50" t="s">
        <v>670</v>
      </c>
      <c r="C387" s="50" t="s">
        <v>69</v>
      </c>
      <c r="D387" s="50">
        <v>7</v>
      </c>
      <c r="E387" s="50">
        <v>7</v>
      </c>
      <c r="F387" s="50">
        <v>0</v>
      </c>
    </row>
    <row r="388" spans="1:6" x14ac:dyDescent="0.25">
      <c r="A388" s="50" t="s">
        <v>49</v>
      </c>
      <c r="B388" s="50" t="s">
        <v>333</v>
      </c>
      <c r="C388" s="50" t="s">
        <v>490</v>
      </c>
      <c r="D388" s="50">
        <v>8</v>
      </c>
      <c r="E388" s="50">
        <v>7</v>
      </c>
      <c r="F388" s="50">
        <v>1</v>
      </c>
    </row>
    <row r="389" spans="1:6" x14ac:dyDescent="0.25">
      <c r="A389" s="50" t="s">
        <v>35</v>
      </c>
      <c r="B389" s="50" t="s">
        <v>304</v>
      </c>
      <c r="C389" s="50" t="s">
        <v>104</v>
      </c>
      <c r="D389" s="50">
        <v>1</v>
      </c>
      <c r="E389" s="50">
        <v>1</v>
      </c>
      <c r="F389" s="50">
        <v>0</v>
      </c>
    </row>
    <row r="390" spans="1:6" x14ac:dyDescent="0.25">
      <c r="A390" s="50" t="s">
        <v>38</v>
      </c>
      <c r="B390" s="50" t="s">
        <v>293</v>
      </c>
      <c r="C390" s="50" t="s">
        <v>46</v>
      </c>
      <c r="D390" s="50">
        <v>5</v>
      </c>
      <c r="E390" s="50">
        <v>4</v>
      </c>
      <c r="F390" s="50">
        <v>1</v>
      </c>
    </row>
    <row r="391" spans="1:6" x14ac:dyDescent="0.25">
      <c r="A391" s="50" t="s">
        <v>49</v>
      </c>
      <c r="B391" s="50" t="s">
        <v>461</v>
      </c>
      <c r="C391" s="50" t="s">
        <v>37</v>
      </c>
      <c r="D391" s="50">
        <v>11</v>
      </c>
      <c r="E391" s="50">
        <v>16</v>
      </c>
      <c r="F391" s="50">
        <v>-5</v>
      </c>
    </row>
    <row r="392" spans="1:6" x14ac:dyDescent="0.25">
      <c r="A392" s="50" t="s">
        <v>44</v>
      </c>
      <c r="B392" s="50" t="s">
        <v>197</v>
      </c>
      <c r="C392" s="50" t="s">
        <v>104</v>
      </c>
      <c r="D392" s="50">
        <v>19</v>
      </c>
      <c r="E392" s="50">
        <v>20</v>
      </c>
      <c r="F392" s="50">
        <v>-1</v>
      </c>
    </row>
    <row r="393" spans="1:6" x14ac:dyDescent="0.25">
      <c r="A393" s="50" t="s">
        <v>35</v>
      </c>
      <c r="B393" s="50" t="s">
        <v>608</v>
      </c>
      <c r="C393" s="50" t="s">
        <v>40</v>
      </c>
      <c r="D393" s="50">
        <v>1</v>
      </c>
      <c r="E393" s="50">
        <v>1</v>
      </c>
      <c r="F393" s="50">
        <v>0</v>
      </c>
    </row>
    <row r="394" spans="1:6" x14ac:dyDescent="0.25">
      <c r="A394" s="50" t="s">
        <v>44</v>
      </c>
      <c r="B394" s="50" t="s">
        <v>166</v>
      </c>
      <c r="C394" s="50" t="s">
        <v>54</v>
      </c>
      <c r="D394" s="50">
        <v>10</v>
      </c>
      <c r="E394" s="50">
        <v>8</v>
      </c>
      <c r="F394" s="50">
        <v>2</v>
      </c>
    </row>
    <row r="395" spans="1:6" x14ac:dyDescent="0.25">
      <c r="A395" s="50" t="s">
        <v>49</v>
      </c>
      <c r="B395" s="50" t="s">
        <v>219</v>
      </c>
      <c r="C395" s="50" t="s">
        <v>96</v>
      </c>
      <c r="D395" s="50">
        <v>14</v>
      </c>
      <c r="E395" s="50">
        <v>15</v>
      </c>
      <c r="F395" s="50">
        <v>-1</v>
      </c>
    </row>
    <row r="396" spans="1:6" x14ac:dyDescent="0.25">
      <c r="A396" s="50" t="s">
        <v>35</v>
      </c>
      <c r="B396" s="50" t="s">
        <v>397</v>
      </c>
      <c r="C396" s="50" t="s">
        <v>41</v>
      </c>
      <c r="D396" s="50">
        <v>1</v>
      </c>
      <c r="E396" s="50">
        <v>1</v>
      </c>
      <c r="F396" s="50">
        <v>0</v>
      </c>
    </row>
    <row r="397" spans="1:6" x14ac:dyDescent="0.25">
      <c r="A397" s="50" t="s">
        <v>44</v>
      </c>
      <c r="B397" s="50" t="s">
        <v>338</v>
      </c>
      <c r="C397" s="50" t="s">
        <v>98</v>
      </c>
      <c r="D397" s="50">
        <v>10</v>
      </c>
      <c r="E397" s="50">
        <v>10</v>
      </c>
      <c r="F397" s="50">
        <v>0</v>
      </c>
    </row>
    <row r="398" spans="1:6" x14ac:dyDescent="0.25">
      <c r="A398" s="50" t="s">
        <v>35</v>
      </c>
      <c r="B398" s="50" t="s">
        <v>607</v>
      </c>
      <c r="C398" s="50" t="s">
        <v>133</v>
      </c>
      <c r="D398" s="50">
        <v>1</v>
      </c>
      <c r="E398" s="50">
        <v>1</v>
      </c>
      <c r="F398" s="50">
        <v>0</v>
      </c>
    </row>
    <row r="399" spans="1:6" x14ac:dyDescent="0.25">
      <c r="A399" s="50" t="s">
        <v>35</v>
      </c>
      <c r="B399" s="50" t="s">
        <v>527</v>
      </c>
      <c r="C399" s="50" t="s">
        <v>483</v>
      </c>
      <c r="D399" s="50">
        <v>3</v>
      </c>
      <c r="E399" s="50">
        <v>6</v>
      </c>
      <c r="F399" s="50">
        <v>-3</v>
      </c>
    </row>
    <row r="400" spans="1:6" x14ac:dyDescent="0.25">
      <c r="A400" s="50" t="s">
        <v>49</v>
      </c>
      <c r="B400" s="50" t="s">
        <v>91</v>
      </c>
      <c r="C400" s="50" t="s">
        <v>69</v>
      </c>
      <c r="D400" s="50">
        <v>1</v>
      </c>
      <c r="E400" s="50">
        <v>4</v>
      </c>
      <c r="F400" s="50">
        <v>-3</v>
      </c>
    </row>
    <row r="401" spans="1:6" x14ac:dyDescent="0.25">
      <c r="A401" s="50" t="s">
        <v>44</v>
      </c>
      <c r="B401" s="50" t="s">
        <v>250</v>
      </c>
      <c r="C401" s="50" t="s">
        <v>54</v>
      </c>
      <c r="D401" s="50">
        <v>5</v>
      </c>
      <c r="E401" s="50">
        <v>10</v>
      </c>
      <c r="F401" s="50">
        <v>-5</v>
      </c>
    </row>
    <row r="402" spans="1:6" x14ac:dyDescent="0.25">
      <c r="A402" s="50" t="s">
        <v>49</v>
      </c>
      <c r="B402" s="50" t="s">
        <v>493</v>
      </c>
      <c r="C402" s="50" t="s">
        <v>67</v>
      </c>
      <c r="D402" s="50">
        <v>11</v>
      </c>
      <c r="E402" s="50">
        <v>12</v>
      </c>
      <c r="F402" s="50">
        <v>-1</v>
      </c>
    </row>
    <row r="403" spans="1:6" x14ac:dyDescent="0.25">
      <c r="A403" s="50" t="s">
        <v>49</v>
      </c>
      <c r="B403" s="50" t="s">
        <v>229</v>
      </c>
      <c r="C403" s="50" t="s">
        <v>98</v>
      </c>
      <c r="D403" s="50">
        <v>36</v>
      </c>
      <c r="E403" s="50">
        <v>28</v>
      </c>
      <c r="F403" s="50">
        <v>8</v>
      </c>
    </row>
    <row r="404" spans="1:6" x14ac:dyDescent="0.25">
      <c r="A404" s="50" t="s">
        <v>44</v>
      </c>
      <c r="B404" s="50" t="s">
        <v>77</v>
      </c>
      <c r="C404" s="50" t="s">
        <v>59</v>
      </c>
      <c r="D404" s="50">
        <v>5</v>
      </c>
      <c r="E404" s="50">
        <v>7</v>
      </c>
      <c r="F404" s="50">
        <v>-2</v>
      </c>
    </row>
    <row r="405" spans="1:6" x14ac:dyDescent="0.25">
      <c r="A405" s="50" t="s">
        <v>38</v>
      </c>
      <c r="B405" s="50" t="s">
        <v>148</v>
      </c>
      <c r="C405" s="50" t="s">
        <v>133</v>
      </c>
      <c r="D405" s="50">
        <v>8</v>
      </c>
      <c r="E405" s="50">
        <v>8</v>
      </c>
      <c r="F405" s="50">
        <v>0</v>
      </c>
    </row>
    <row r="406" spans="1:6" x14ac:dyDescent="0.25">
      <c r="A406" s="50" t="s">
        <v>35</v>
      </c>
      <c r="B406" s="50" t="s">
        <v>605</v>
      </c>
      <c r="C406" s="50" t="s">
        <v>59</v>
      </c>
      <c r="D406" s="50">
        <v>7</v>
      </c>
      <c r="E406" s="50">
        <v>1</v>
      </c>
      <c r="F406" s="50">
        <v>6</v>
      </c>
    </row>
    <row r="407" spans="1:6" x14ac:dyDescent="0.25">
      <c r="A407" s="50" t="s">
        <v>35</v>
      </c>
      <c r="B407" s="50" t="s">
        <v>240</v>
      </c>
      <c r="C407" s="50" t="s">
        <v>46</v>
      </c>
      <c r="D407" s="50">
        <v>1</v>
      </c>
      <c r="E407" s="50">
        <v>1</v>
      </c>
      <c r="F407" s="50">
        <v>0</v>
      </c>
    </row>
    <row r="408" spans="1:6" x14ac:dyDescent="0.25">
      <c r="A408" s="50" t="s">
        <v>35</v>
      </c>
      <c r="B408" s="50" t="s">
        <v>172</v>
      </c>
      <c r="C408" s="50" t="s">
        <v>98</v>
      </c>
      <c r="D408" s="50">
        <v>1</v>
      </c>
      <c r="E408" s="50">
        <v>1</v>
      </c>
      <c r="F408" s="50">
        <v>0</v>
      </c>
    </row>
    <row r="409" spans="1:6" x14ac:dyDescent="0.25">
      <c r="A409" s="50" t="s">
        <v>44</v>
      </c>
      <c r="B409" s="50" t="s">
        <v>408</v>
      </c>
      <c r="C409" s="50" t="s">
        <v>98</v>
      </c>
      <c r="D409" s="50">
        <v>16</v>
      </c>
      <c r="E409" s="50">
        <v>14</v>
      </c>
      <c r="F409" s="50">
        <v>2</v>
      </c>
    </row>
    <row r="410" spans="1:6" x14ac:dyDescent="0.25">
      <c r="A410" s="50" t="s">
        <v>38</v>
      </c>
      <c r="B410" s="50" t="s">
        <v>124</v>
      </c>
      <c r="C410" s="50" t="s">
        <v>96</v>
      </c>
      <c r="D410" s="50">
        <v>1</v>
      </c>
      <c r="E410" s="50">
        <v>4</v>
      </c>
      <c r="F410" s="50">
        <v>-3</v>
      </c>
    </row>
    <row r="411" spans="1:6" x14ac:dyDescent="0.25">
      <c r="A411" s="50" t="s">
        <v>38</v>
      </c>
      <c r="B411" s="50" t="s">
        <v>574</v>
      </c>
      <c r="C411" s="50" t="s">
        <v>483</v>
      </c>
      <c r="D411" s="50">
        <v>2</v>
      </c>
      <c r="E411" s="50">
        <v>3</v>
      </c>
      <c r="F411" s="50">
        <v>-1</v>
      </c>
    </row>
    <row r="412" spans="1:6" x14ac:dyDescent="0.25">
      <c r="A412" s="50" t="s">
        <v>38</v>
      </c>
      <c r="B412" s="50" t="s">
        <v>541</v>
      </c>
      <c r="C412" s="50" t="s">
        <v>43</v>
      </c>
      <c r="D412" s="50">
        <v>1</v>
      </c>
      <c r="E412" s="50">
        <v>5</v>
      </c>
      <c r="F412" s="50">
        <v>-4</v>
      </c>
    </row>
    <row r="413" spans="1:6" x14ac:dyDescent="0.25">
      <c r="A413" s="50" t="s">
        <v>38</v>
      </c>
      <c r="B413" s="50" t="s">
        <v>204</v>
      </c>
      <c r="C413" s="50" t="s">
        <v>41</v>
      </c>
      <c r="D413" s="50">
        <v>1</v>
      </c>
      <c r="E413" s="50">
        <v>3</v>
      </c>
      <c r="F413" s="50">
        <v>-2</v>
      </c>
    </row>
    <row r="414" spans="1:6" x14ac:dyDescent="0.25">
      <c r="A414" s="50" t="s">
        <v>35</v>
      </c>
      <c r="B414" s="50" t="s">
        <v>173</v>
      </c>
      <c r="C414" s="50" t="s">
        <v>40</v>
      </c>
      <c r="D414" s="50">
        <v>1</v>
      </c>
      <c r="E414" s="50">
        <v>1</v>
      </c>
      <c r="F414" s="50">
        <v>0</v>
      </c>
    </row>
    <row r="415" spans="1:6" x14ac:dyDescent="0.25">
      <c r="A415" s="50" t="s">
        <v>44</v>
      </c>
      <c r="B415" s="50" t="s">
        <v>627</v>
      </c>
      <c r="C415" s="50" t="s">
        <v>84</v>
      </c>
      <c r="D415" s="50">
        <v>1</v>
      </c>
      <c r="E415" s="50">
        <v>1</v>
      </c>
      <c r="F415" s="50">
        <v>0</v>
      </c>
    </row>
    <row r="416" spans="1:6" x14ac:dyDescent="0.25">
      <c r="A416" s="50" t="s">
        <v>44</v>
      </c>
      <c r="B416" s="50" t="s">
        <v>189</v>
      </c>
      <c r="C416" s="50" t="s">
        <v>484</v>
      </c>
      <c r="D416" s="50">
        <v>7</v>
      </c>
      <c r="E416" s="50">
        <v>8</v>
      </c>
      <c r="F416" s="50">
        <v>-1</v>
      </c>
    </row>
    <row r="417" spans="1:6" x14ac:dyDescent="0.25">
      <c r="A417" s="50" t="s">
        <v>44</v>
      </c>
      <c r="B417" s="50" t="s">
        <v>78</v>
      </c>
      <c r="C417" s="50" t="s">
        <v>69</v>
      </c>
      <c r="D417" s="50">
        <v>4</v>
      </c>
      <c r="E417" s="50">
        <v>6</v>
      </c>
      <c r="F417" s="50">
        <v>-2</v>
      </c>
    </row>
    <row r="418" spans="1:6" x14ac:dyDescent="0.25">
      <c r="A418" s="50" t="s">
        <v>44</v>
      </c>
      <c r="B418" s="50" t="s">
        <v>114</v>
      </c>
      <c r="C418" s="50" t="s">
        <v>108</v>
      </c>
      <c r="D418" s="50">
        <v>10</v>
      </c>
      <c r="E418" s="50">
        <v>7</v>
      </c>
      <c r="F418" s="50">
        <v>3</v>
      </c>
    </row>
    <row r="419" spans="1:6" x14ac:dyDescent="0.25">
      <c r="A419" s="50" t="s">
        <v>38</v>
      </c>
      <c r="B419" s="50" t="s">
        <v>363</v>
      </c>
      <c r="C419" s="50" t="s">
        <v>40</v>
      </c>
      <c r="D419" s="50">
        <v>9</v>
      </c>
      <c r="E419" s="50">
        <v>8</v>
      </c>
      <c r="F419" s="50">
        <v>1</v>
      </c>
    </row>
    <row r="420" spans="1:6" x14ac:dyDescent="0.25">
      <c r="A420" s="50" t="s">
        <v>38</v>
      </c>
      <c r="B420" s="50" t="s">
        <v>423</v>
      </c>
      <c r="C420" s="50" t="s">
        <v>102</v>
      </c>
      <c r="D420" s="50">
        <v>4</v>
      </c>
      <c r="E420" s="50">
        <v>4</v>
      </c>
      <c r="F420" s="50">
        <v>0</v>
      </c>
    </row>
    <row r="421" spans="1:6" x14ac:dyDescent="0.25">
      <c r="A421" s="50" t="s">
        <v>44</v>
      </c>
      <c r="B421" s="50" t="s">
        <v>550</v>
      </c>
      <c r="C421" s="50" t="s">
        <v>59</v>
      </c>
      <c r="D421" s="50">
        <v>4</v>
      </c>
      <c r="E421" s="50">
        <v>5</v>
      </c>
      <c r="F421" s="50">
        <v>-1</v>
      </c>
    </row>
    <row r="422" spans="1:6" x14ac:dyDescent="0.25">
      <c r="A422" s="50" t="s">
        <v>38</v>
      </c>
      <c r="B422" s="50" t="s">
        <v>404</v>
      </c>
      <c r="C422" s="50" t="s">
        <v>46</v>
      </c>
      <c r="D422" s="50">
        <v>7</v>
      </c>
      <c r="E422" s="50">
        <v>6</v>
      </c>
      <c r="F422" s="50">
        <v>1</v>
      </c>
    </row>
    <row r="423" spans="1:6" x14ac:dyDescent="0.25">
      <c r="A423" s="50" t="s">
        <v>38</v>
      </c>
      <c r="B423" s="50" t="s">
        <v>193</v>
      </c>
      <c r="C423" s="50" t="s">
        <v>40</v>
      </c>
      <c r="D423" s="50">
        <v>10</v>
      </c>
      <c r="E423" s="50">
        <v>10</v>
      </c>
      <c r="F423" s="50">
        <v>0</v>
      </c>
    </row>
    <row r="424" spans="1:6" x14ac:dyDescent="0.25">
      <c r="A424" s="50" t="s">
        <v>38</v>
      </c>
      <c r="B424" s="50" t="s">
        <v>671</v>
      </c>
      <c r="C424" s="50" t="s">
        <v>59</v>
      </c>
      <c r="D424" s="50">
        <v>6</v>
      </c>
      <c r="E424" s="50">
        <v>1</v>
      </c>
      <c r="F424" s="50">
        <v>5</v>
      </c>
    </row>
    <row r="425" spans="1:6" x14ac:dyDescent="0.25">
      <c r="A425" s="50" t="s">
        <v>44</v>
      </c>
      <c r="B425" s="50" t="s">
        <v>242</v>
      </c>
      <c r="C425" s="50" t="s">
        <v>133</v>
      </c>
      <c r="D425" s="50">
        <v>10</v>
      </c>
      <c r="E425" s="50">
        <v>9</v>
      </c>
      <c r="F425" s="50">
        <v>1</v>
      </c>
    </row>
    <row r="426" spans="1:6" x14ac:dyDescent="0.25">
      <c r="A426" s="50" t="s">
        <v>35</v>
      </c>
      <c r="B426" s="50" t="s">
        <v>613</v>
      </c>
      <c r="C426" s="50" t="s">
        <v>108</v>
      </c>
      <c r="D426" s="50">
        <v>1</v>
      </c>
      <c r="E426" s="50">
        <v>1</v>
      </c>
      <c r="F426" s="50">
        <v>0</v>
      </c>
    </row>
    <row r="427" spans="1:6" x14ac:dyDescent="0.25">
      <c r="A427" s="50" t="s">
        <v>38</v>
      </c>
      <c r="B427" s="50" t="s">
        <v>58</v>
      </c>
      <c r="C427" s="50" t="s">
        <v>69</v>
      </c>
      <c r="D427" s="50">
        <v>6</v>
      </c>
      <c r="E427" s="50">
        <v>5</v>
      </c>
      <c r="F427" s="50">
        <v>1</v>
      </c>
    </row>
    <row r="428" spans="1:6" x14ac:dyDescent="0.25">
      <c r="A428" s="50" t="s">
        <v>35</v>
      </c>
      <c r="B428" s="50" t="s">
        <v>414</v>
      </c>
      <c r="C428" s="50" t="s">
        <v>43</v>
      </c>
      <c r="D428" s="50">
        <v>1</v>
      </c>
      <c r="E428" s="50">
        <v>1</v>
      </c>
      <c r="F428" s="50">
        <v>0</v>
      </c>
    </row>
    <row r="429" spans="1:6" x14ac:dyDescent="0.25">
      <c r="A429" s="50" t="s">
        <v>38</v>
      </c>
      <c r="B429" s="50" t="s">
        <v>135</v>
      </c>
      <c r="C429" s="50" t="s">
        <v>104</v>
      </c>
      <c r="D429" s="50">
        <v>6</v>
      </c>
      <c r="E429" s="50">
        <v>8</v>
      </c>
      <c r="F429" s="50">
        <v>-2</v>
      </c>
    </row>
    <row r="430" spans="1:6" x14ac:dyDescent="0.25">
      <c r="A430" s="50" t="s">
        <v>44</v>
      </c>
      <c r="B430" s="50" t="s">
        <v>479</v>
      </c>
      <c r="C430" s="50" t="s">
        <v>62</v>
      </c>
      <c r="D430" s="50">
        <v>14</v>
      </c>
      <c r="E430" s="50">
        <v>14</v>
      </c>
      <c r="F430" s="50">
        <v>0</v>
      </c>
    </row>
    <row r="431" spans="1:6" x14ac:dyDescent="0.25">
      <c r="A431" s="50" t="s">
        <v>38</v>
      </c>
      <c r="B431" s="50" t="s">
        <v>245</v>
      </c>
      <c r="C431" s="50" t="s">
        <v>98</v>
      </c>
      <c r="D431" s="50">
        <v>4</v>
      </c>
      <c r="E431" s="50">
        <v>3</v>
      </c>
      <c r="F431" s="50">
        <v>1</v>
      </c>
    </row>
    <row r="432" spans="1:6" x14ac:dyDescent="0.25">
      <c r="A432" s="50" t="s">
        <v>38</v>
      </c>
      <c r="B432" s="50" t="s">
        <v>205</v>
      </c>
      <c r="C432" s="50" t="s">
        <v>490</v>
      </c>
      <c r="D432" s="50">
        <v>3</v>
      </c>
      <c r="E432" s="50">
        <v>4</v>
      </c>
      <c r="F432" s="50">
        <v>-1</v>
      </c>
    </row>
    <row r="433" spans="1:6" x14ac:dyDescent="0.25">
      <c r="A433" s="50" t="s">
        <v>49</v>
      </c>
      <c r="B433" s="50" t="s">
        <v>416</v>
      </c>
      <c r="C433" s="50" t="s">
        <v>96</v>
      </c>
      <c r="D433" s="50">
        <v>1</v>
      </c>
      <c r="E433" s="50">
        <v>1</v>
      </c>
      <c r="F433" s="50">
        <v>0</v>
      </c>
    </row>
    <row r="434" spans="1:6" x14ac:dyDescent="0.25">
      <c r="A434" s="50" t="s">
        <v>38</v>
      </c>
      <c r="B434" s="50" t="s">
        <v>275</v>
      </c>
      <c r="C434" s="50" t="s">
        <v>67</v>
      </c>
      <c r="D434" s="50">
        <v>5</v>
      </c>
      <c r="E434" s="50">
        <v>6</v>
      </c>
      <c r="F434" s="50">
        <v>-1</v>
      </c>
    </row>
    <row r="435" spans="1:6" x14ac:dyDescent="0.25">
      <c r="A435" s="50" t="s">
        <v>44</v>
      </c>
      <c r="B435" s="50" t="s">
        <v>672</v>
      </c>
      <c r="C435" s="50" t="s">
        <v>490</v>
      </c>
      <c r="D435" s="50">
        <v>1</v>
      </c>
      <c r="E435" s="50">
        <v>1</v>
      </c>
      <c r="F435" s="50">
        <v>0</v>
      </c>
    </row>
    <row r="436" spans="1:6" x14ac:dyDescent="0.25">
      <c r="A436" s="50" t="s">
        <v>49</v>
      </c>
      <c r="B436" s="50" t="s">
        <v>673</v>
      </c>
      <c r="C436" s="50" t="s">
        <v>59</v>
      </c>
      <c r="D436" s="50">
        <v>12</v>
      </c>
      <c r="E436" s="50">
        <v>11</v>
      </c>
      <c r="F436" s="50">
        <v>1</v>
      </c>
    </row>
    <row r="437" spans="1:6" x14ac:dyDescent="0.25">
      <c r="A437" s="50" t="s">
        <v>44</v>
      </c>
      <c r="B437" s="50" t="s">
        <v>433</v>
      </c>
      <c r="C437" s="50" t="s">
        <v>67</v>
      </c>
      <c r="D437" s="50">
        <v>6</v>
      </c>
      <c r="E437" s="50">
        <v>9</v>
      </c>
      <c r="F437" s="50">
        <v>-3</v>
      </c>
    </row>
    <row r="438" spans="1:6" x14ac:dyDescent="0.25">
      <c r="A438" s="50" t="s">
        <v>49</v>
      </c>
      <c r="B438" s="50" t="s">
        <v>674</v>
      </c>
      <c r="C438" s="50" t="s">
        <v>54</v>
      </c>
      <c r="D438" s="50">
        <v>10</v>
      </c>
      <c r="E438" s="50">
        <v>11</v>
      </c>
      <c r="F438" s="50">
        <v>-1</v>
      </c>
    </row>
    <row r="439" spans="1:6" x14ac:dyDescent="0.25">
      <c r="A439" s="50" t="s">
        <v>49</v>
      </c>
      <c r="B439" s="50" t="s">
        <v>505</v>
      </c>
      <c r="C439" s="50" t="s">
        <v>54</v>
      </c>
      <c r="D439" s="50">
        <v>13</v>
      </c>
      <c r="E439" s="50">
        <v>10</v>
      </c>
      <c r="F439" s="50">
        <v>3</v>
      </c>
    </row>
    <row r="440" spans="1:6" x14ac:dyDescent="0.25">
      <c r="A440" s="50" t="s">
        <v>38</v>
      </c>
      <c r="B440" s="50" t="s">
        <v>125</v>
      </c>
      <c r="C440" s="50" t="s">
        <v>84</v>
      </c>
      <c r="D440" s="50">
        <v>4</v>
      </c>
      <c r="E440" s="50">
        <v>3</v>
      </c>
      <c r="F440" s="50">
        <v>1</v>
      </c>
    </row>
    <row r="441" spans="1:6" x14ac:dyDescent="0.25">
      <c r="A441" s="50" t="s">
        <v>35</v>
      </c>
      <c r="B441" s="50" t="s">
        <v>396</v>
      </c>
      <c r="C441" s="50" t="s">
        <v>54</v>
      </c>
      <c r="D441" s="50">
        <v>1</v>
      </c>
      <c r="E441" s="50">
        <v>1</v>
      </c>
      <c r="F441" s="50">
        <v>0</v>
      </c>
    </row>
    <row r="442" spans="1:6" x14ac:dyDescent="0.25">
      <c r="A442" s="50" t="s">
        <v>44</v>
      </c>
      <c r="B442" s="50" t="s">
        <v>89</v>
      </c>
      <c r="C442" s="50" t="s">
        <v>98</v>
      </c>
      <c r="D442" s="50">
        <v>12</v>
      </c>
      <c r="E442" s="50">
        <v>10</v>
      </c>
      <c r="F442" s="50">
        <v>2</v>
      </c>
    </row>
    <row r="443" spans="1:6" x14ac:dyDescent="0.25">
      <c r="A443" s="50" t="s">
        <v>35</v>
      </c>
      <c r="B443" s="50" t="s">
        <v>349</v>
      </c>
      <c r="C443" s="50" t="s">
        <v>102</v>
      </c>
      <c r="D443" s="50">
        <v>1</v>
      </c>
      <c r="E443" s="50">
        <v>1</v>
      </c>
      <c r="F443" s="50">
        <v>0</v>
      </c>
    </row>
    <row r="444" spans="1:6" x14ac:dyDescent="0.25">
      <c r="A444" s="50" t="s">
        <v>49</v>
      </c>
      <c r="B444" s="50" t="s">
        <v>300</v>
      </c>
      <c r="C444" s="50" t="s">
        <v>98</v>
      </c>
      <c r="D444" s="50">
        <v>6</v>
      </c>
      <c r="E444" s="50">
        <v>9</v>
      </c>
      <c r="F444" s="50">
        <v>-3</v>
      </c>
    </row>
    <row r="445" spans="1:6" x14ac:dyDescent="0.25">
      <c r="A445" s="50" t="s">
        <v>49</v>
      </c>
      <c r="B445" s="50" t="s">
        <v>465</v>
      </c>
      <c r="C445" s="50" t="s">
        <v>102</v>
      </c>
      <c r="D445" s="50">
        <v>1</v>
      </c>
      <c r="E445" s="50">
        <v>1</v>
      </c>
      <c r="F445" s="50">
        <v>0</v>
      </c>
    </row>
    <row r="446" spans="1:6" x14ac:dyDescent="0.25">
      <c r="A446" s="50" t="s">
        <v>38</v>
      </c>
      <c r="B446" s="50" t="s">
        <v>675</v>
      </c>
      <c r="C446" s="50" t="s">
        <v>69</v>
      </c>
      <c r="D446" s="50">
        <v>4</v>
      </c>
      <c r="E446" s="50">
        <v>4</v>
      </c>
      <c r="F446" s="50">
        <v>0</v>
      </c>
    </row>
    <row r="447" spans="1:6" x14ac:dyDescent="0.25">
      <c r="A447" s="50" t="s">
        <v>49</v>
      </c>
      <c r="B447" s="50" t="s">
        <v>676</v>
      </c>
      <c r="C447" s="50" t="s">
        <v>484</v>
      </c>
      <c r="D447" s="50">
        <v>3</v>
      </c>
      <c r="E447" s="50">
        <v>3</v>
      </c>
      <c r="F447" s="50">
        <v>0</v>
      </c>
    </row>
    <row r="448" spans="1:6" x14ac:dyDescent="0.25">
      <c r="A448" s="50" t="s">
        <v>44</v>
      </c>
      <c r="B448" s="50" t="s">
        <v>400</v>
      </c>
      <c r="C448" s="50" t="s">
        <v>41</v>
      </c>
      <c r="D448" s="50">
        <v>6</v>
      </c>
      <c r="E448" s="50">
        <v>4</v>
      </c>
      <c r="F448" s="50">
        <v>2</v>
      </c>
    </row>
    <row r="449" spans="1:6" x14ac:dyDescent="0.25">
      <c r="A449" s="50" t="s">
        <v>49</v>
      </c>
      <c r="B449" s="50" t="s">
        <v>313</v>
      </c>
      <c r="C449" s="50" t="s">
        <v>84</v>
      </c>
      <c r="D449" s="50">
        <v>13</v>
      </c>
      <c r="E449" s="50">
        <v>17</v>
      </c>
      <c r="F449" s="50">
        <v>-4</v>
      </c>
    </row>
    <row r="450" spans="1:6" x14ac:dyDescent="0.25">
      <c r="A450" s="50" t="s">
        <v>44</v>
      </c>
      <c r="B450" s="50" t="s">
        <v>579</v>
      </c>
      <c r="C450" s="50" t="s">
        <v>484</v>
      </c>
      <c r="D450" s="50">
        <v>5</v>
      </c>
      <c r="E450" s="50">
        <v>3</v>
      </c>
      <c r="F450" s="50">
        <v>2</v>
      </c>
    </row>
    <row r="451" spans="1:6" x14ac:dyDescent="0.25">
      <c r="A451" s="50" t="s">
        <v>35</v>
      </c>
      <c r="B451" s="50" t="s">
        <v>68</v>
      </c>
      <c r="C451" s="50" t="s">
        <v>69</v>
      </c>
      <c r="D451" s="50">
        <v>1</v>
      </c>
      <c r="E451" s="50">
        <v>1</v>
      </c>
      <c r="F451" s="50">
        <v>0</v>
      </c>
    </row>
    <row r="452" spans="1:6" x14ac:dyDescent="0.25">
      <c r="A452" s="50" t="s">
        <v>35</v>
      </c>
      <c r="B452" s="50" t="s">
        <v>614</v>
      </c>
      <c r="C452" s="50" t="s">
        <v>69</v>
      </c>
      <c r="D452" s="50">
        <v>1</v>
      </c>
      <c r="E452" s="50">
        <v>1</v>
      </c>
      <c r="F452" s="50">
        <v>0</v>
      </c>
    </row>
    <row r="453" spans="1:6" x14ac:dyDescent="0.25">
      <c r="A453" s="50" t="s">
        <v>44</v>
      </c>
      <c r="B453" s="50" t="s">
        <v>315</v>
      </c>
      <c r="C453" s="50" t="s">
        <v>102</v>
      </c>
      <c r="D453" s="50">
        <v>8</v>
      </c>
      <c r="E453" s="50">
        <v>6</v>
      </c>
      <c r="F453" s="50">
        <v>2</v>
      </c>
    </row>
    <row r="454" spans="1:6" x14ac:dyDescent="0.25">
      <c r="A454" s="50" t="s">
        <v>35</v>
      </c>
      <c r="B454" s="50" t="s">
        <v>92</v>
      </c>
      <c r="C454" s="50" t="s">
        <v>484</v>
      </c>
      <c r="D454" s="50">
        <v>10</v>
      </c>
      <c r="E454" s="50">
        <v>6</v>
      </c>
      <c r="F454" s="50">
        <v>4</v>
      </c>
    </row>
    <row r="455" spans="1:6" x14ac:dyDescent="0.25">
      <c r="A455" s="50" t="s">
        <v>38</v>
      </c>
      <c r="B455" s="50" t="s">
        <v>618</v>
      </c>
      <c r="C455" s="50" t="s">
        <v>102</v>
      </c>
      <c r="D455" s="50">
        <v>1</v>
      </c>
      <c r="E455" s="50">
        <v>1</v>
      </c>
      <c r="F455" s="50">
        <v>0</v>
      </c>
    </row>
    <row r="456" spans="1:6" x14ac:dyDescent="0.25">
      <c r="A456" s="50" t="s">
        <v>38</v>
      </c>
      <c r="B456" s="50" t="s">
        <v>677</v>
      </c>
      <c r="C456" s="50" t="s">
        <v>484</v>
      </c>
      <c r="D456" s="50">
        <v>1</v>
      </c>
      <c r="E456" s="50">
        <v>1</v>
      </c>
      <c r="F456" s="50">
        <v>0</v>
      </c>
    </row>
    <row r="457" spans="1:6" x14ac:dyDescent="0.25">
      <c r="A457" s="50" t="s">
        <v>49</v>
      </c>
      <c r="B457" s="50" t="s">
        <v>524</v>
      </c>
      <c r="C457" s="50" t="s">
        <v>484</v>
      </c>
      <c r="D457" s="50">
        <v>8</v>
      </c>
      <c r="E457" s="50">
        <v>7</v>
      </c>
      <c r="F457" s="50">
        <v>1</v>
      </c>
    </row>
    <row r="458" spans="1:6" x14ac:dyDescent="0.25">
      <c r="A458" s="50" t="s">
        <v>38</v>
      </c>
      <c r="B458" s="50" t="s">
        <v>206</v>
      </c>
      <c r="C458" s="50" t="s">
        <v>483</v>
      </c>
      <c r="D458" s="50">
        <v>8</v>
      </c>
      <c r="E458" s="50">
        <v>7</v>
      </c>
      <c r="F458" s="50">
        <v>1</v>
      </c>
    </row>
    <row r="459" spans="1:6" x14ac:dyDescent="0.25">
      <c r="A459" s="50" t="s">
        <v>49</v>
      </c>
      <c r="B459" s="50" t="s">
        <v>336</v>
      </c>
      <c r="C459" s="50" t="s">
        <v>37</v>
      </c>
      <c r="D459" s="50">
        <v>20</v>
      </c>
      <c r="E459" s="50">
        <v>26</v>
      </c>
      <c r="F459" s="50">
        <v>-6</v>
      </c>
    </row>
    <row r="460" spans="1:6" x14ac:dyDescent="0.25">
      <c r="A460" s="50" t="s">
        <v>38</v>
      </c>
      <c r="B460" s="50" t="s">
        <v>350</v>
      </c>
      <c r="C460" s="50" t="s">
        <v>41</v>
      </c>
      <c r="D460" s="50">
        <v>1</v>
      </c>
      <c r="E460" s="50">
        <v>2</v>
      </c>
      <c r="F460" s="50">
        <v>-1</v>
      </c>
    </row>
    <row r="461" spans="1:6" x14ac:dyDescent="0.25">
      <c r="A461" s="50" t="s">
        <v>38</v>
      </c>
      <c r="B461" s="50" t="s">
        <v>160</v>
      </c>
      <c r="C461" s="50" t="s">
        <v>490</v>
      </c>
      <c r="D461" s="50">
        <v>1</v>
      </c>
      <c r="E461" s="50">
        <v>2</v>
      </c>
      <c r="F461" s="50">
        <v>-1</v>
      </c>
    </row>
    <row r="462" spans="1:6" x14ac:dyDescent="0.25">
      <c r="A462" s="50" t="s">
        <v>35</v>
      </c>
      <c r="B462" s="50" t="s">
        <v>370</v>
      </c>
      <c r="C462" s="50" t="s">
        <v>108</v>
      </c>
      <c r="D462" s="50">
        <v>12</v>
      </c>
      <c r="E462" s="50">
        <v>11</v>
      </c>
      <c r="F462" s="50">
        <v>1</v>
      </c>
    </row>
    <row r="463" spans="1:6" x14ac:dyDescent="0.25">
      <c r="A463" s="50" t="s">
        <v>35</v>
      </c>
      <c r="B463" s="50" t="s">
        <v>83</v>
      </c>
      <c r="C463" s="50" t="s">
        <v>54</v>
      </c>
      <c r="D463" s="50">
        <v>9</v>
      </c>
      <c r="E463" s="50">
        <v>9</v>
      </c>
      <c r="F463" s="50">
        <v>0</v>
      </c>
    </row>
    <row r="464" spans="1:6" x14ac:dyDescent="0.25">
      <c r="A464" s="50" t="s">
        <v>38</v>
      </c>
      <c r="B464" s="50" t="s">
        <v>277</v>
      </c>
      <c r="C464" s="50" t="s">
        <v>96</v>
      </c>
      <c r="D464" s="50">
        <v>15</v>
      </c>
      <c r="E464" s="50">
        <v>16</v>
      </c>
      <c r="F464" s="50">
        <v>-1</v>
      </c>
    </row>
    <row r="465" spans="1:6" x14ac:dyDescent="0.25">
      <c r="A465" s="50" t="s">
        <v>44</v>
      </c>
      <c r="B465" s="50" t="s">
        <v>488</v>
      </c>
      <c r="C465" s="50" t="s">
        <v>54</v>
      </c>
      <c r="D465" s="50">
        <v>7</v>
      </c>
      <c r="E465" s="50">
        <v>12</v>
      </c>
      <c r="F465" s="50">
        <v>-5</v>
      </c>
    </row>
    <row r="466" spans="1:6" x14ac:dyDescent="0.25">
      <c r="A466" s="50" t="s">
        <v>35</v>
      </c>
      <c r="B466" s="50" t="s">
        <v>185</v>
      </c>
      <c r="C466" s="50" t="s">
        <v>69</v>
      </c>
      <c r="D466" s="50">
        <v>11</v>
      </c>
      <c r="E466" s="50">
        <v>9</v>
      </c>
      <c r="F466" s="50">
        <v>2</v>
      </c>
    </row>
    <row r="467" spans="1:6" x14ac:dyDescent="0.25">
      <c r="A467" s="50" t="s">
        <v>38</v>
      </c>
      <c r="B467" s="50" t="s">
        <v>286</v>
      </c>
      <c r="C467" s="50" t="s">
        <v>104</v>
      </c>
      <c r="D467" s="50">
        <v>2</v>
      </c>
      <c r="E467" s="50">
        <v>6</v>
      </c>
      <c r="F467" s="50">
        <v>-4</v>
      </c>
    </row>
    <row r="468" spans="1:6" x14ac:dyDescent="0.25">
      <c r="A468" s="50" t="s">
        <v>35</v>
      </c>
      <c r="B468" s="50" t="s">
        <v>36</v>
      </c>
      <c r="C468" s="50" t="s">
        <v>490</v>
      </c>
      <c r="D468" s="50">
        <v>7</v>
      </c>
      <c r="E468" s="50">
        <v>6</v>
      </c>
      <c r="F468" s="50">
        <v>1</v>
      </c>
    </row>
    <row r="469" spans="1:6" x14ac:dyDescent="0.25">
      <c r="A469" s="50" t="s">
        <v>49</v>
      </c>
      <c r="B469" s="50" t="s">
        <v>640</v>
      </c>
      <c r="C469" s="50" t="s">
        <v>484</v>
      </c>
      <c r="D469" s="50">
        <v>3</v>
      </c>
      <c r="E469" s="50">
        <v>1</v>
      </c>
      <c r="F469" s="50">
        <v>2</v>
      </c>
    </row>
    <row r="470" spans="1:6" x14ac:dyDescent="0.25">
      <c r="A470" s="50" t="s">
        <v>38</v>
      </c>
      <c r="B470" s="50" t="s">
        <v>522</v>
      </c>
      <c r="C470" s="50" t="s">
        <v>46</v>
      </c>
      <c r="D470" s="50">
        <v>9</v>
      </c>
      <c r="E470" s="50">
        <v>7</v>
      </c>
      <c r="F470" s="50">
        <v>2</v>
      </c>
    </row>
    <row r="471" spans="1:6" x14ac:dyDescent="0.25">
      <c r="A471" s="50" t="s">
        <v>49</v>
      </c>
      <c r="B471" s="50" t="s">
        <v>426</v>
      </c>
      <c r="C471" s="50" t="s">
        <v>69</v>
      </c>
      <c r="D471" s="50">
        <v>13</v>
      </c>
      <c r="E471" s="50">
        <v>13</v>
      </c>
      <c r="F471" s="50">
        <v>0</v>
      </c>
    </row>
    <row r="472" spans="1:6" x14ac:dyDescent="0.25">
      <c r="A472" s="50" t="s">
        <v>44</v>
      </c>
      <c r="B472" s="50" t="s">
        <v>630</v>
      </c>
      <c r="C472" s="50" t="s">
        <v>98</v>
      </c>
      <c r="D472" s="50">
        <v>1</v>
      </c>
      <c r="E472" s="50">
        <v>1</v>
      </c>
      <c r="F472" s="50">
        <v>0</v>
      </c>
    </row>
    <row r="473" spans="1:6" x14ac:dyDescent="0.25">
      <c r="A473" s="50" t="s">
        <v>35</v>
      </c>
      <c r="B473" s="50" t="s">
        <v>307</v>
      </c>
      <c r="C473" s="50" t="s">
        <v>133</v>
      </c>
      <c r="D473" s="50">
        <v>11</v>
      </c>
      <c r="E473" s="50">
        <v>12</v>
      </c>
      <c r="F473" s="50">
        <v>-1</v>
      </c>
    </row>
    <row r="474" spans="1:6" x14ac:dyDescent="0.25">
      <c r="A474" s="50" t="s">
        <v>38</v>
      </c>
      <c r="B474" s="50" t="s">
        <v>177</v>
      </c>
      <c r="C474" s="50" t="s">
        <v>40</v>
      </c>
      <c r="D474" s="50">
        <v>1</v>
      </c>
      <c r="E474" s="50">
        <v>5</v>
      </c>
      <c r="F474" s="50">
        <v>-4</v>
      </c>
    </row>
    <row r="475" spans="1:6" x14ac:dyDescent="0.25">
      <c r="A475" s="50" t="s">
        <v>38</v>
      </c>
      <c r="B475" s="50" t="s">
        <v>421</v>
      </c>
      <c r="C475" s="50" t="s">
        <v>67</v>
      </c>
      <c r="D475" s="50">
        <v>8</v>
      </c>
      <c r="E475" s="50">
        <v>6</v>
      </c>
      <c r="F475" s="50">
        <v>2</v>
      </c>
    </row>
    <row r="476" spans="1:6" x14ac:dyDescent="0.25">
      <c r="A476" s="50" t="s">
        <v>44</v>
      </c>
      <c r="B476" s="50" t="s">
        <v>547</v>
      </c>
      <c r="C476" s="50" t="s">
        <v>484</v>
      </c>
      <c r="D476" s="50">
        <v>7</v>
      </c>
      <c r="E476" s="50">
        <v>5</v>
      </c>
      <c r="F476" s="50">
        <v>2</v>
      </c>
    </row>
    <row r="477" spans="1:6" x14ac:dyDescent="0.25">
      <c r="A477" s="50" t="s">
        <v>44</v>
      </c>
      <c r="B477" s="50" t="s">
        <v>140</v>
      </c>
      <c r="C477" s="50" t="s">
        <v>59</v>
      </c>
      <c r="D477" s="50">
        <v>3</v>
      </c>
      <c r="E477" s="50">
        <v>3</v>
      </c>
      <c r="F477" s="50">
        <v>0</v>
      </c>
    </row>
    <row r="478" spans="1:6" x14ac:dyDescent="0.25">
      <c r="A478" s="50" t="s">
        <v>49</v>
      </c>
      <c r="B478" s="50" t="s">
        <v>167</v>
      </c>
      <c r="C478" s="50" t="s">
        <v>40</v>
      </c>
      <c r="D478" s="50">
        <v>22</v>
      </c>
      <c r="E478" s="50">
        <v>21</v>
      </c>
      <c r="F478" s="50">
        <v>1</v>
      </c>
    </row>
    <row r="479" spans="1:6" x14ac:dyDescent="0.25">
      <c r="A479" s="50" t="s">
        <v>44</v>
      </c>
      <c r="B479" s="50" t="s">
        <v>576</v>
      </c>
      <c r="C479" s="50" t="s">
        <v>54</v>
      </c>
      <c r="D479" s="50">
        <v>5</v>
      </c>
      <c r="E479" s="50">
        <v>3</v>
      </c>
      <c r="F479" s="50">
        <v>2</v>
      </c>
    </row>
    <row r="480" spans="1:6" x14ac:dyDescent="0.25">
      <c r="A480" s="50" t="s">
        <v>35</v>
      </c>
      <c r="B480" s="50" t="s">
        <v>191</v>
      </c>
      <c r="C480" s="50" t="s">
        <v>104</v>
      </c>
      <c r="D480" s="50">
        <v>17</v>
      </c>
      <c r="E480" s="50">
        <v>18</v>
      </c>
      <c r="F480" s="50">
        <v>-1</v>
      </c>
    </row>
    <row r="481" spans="1:6" x14ac:dyDescent="0.25">
      <c r="A481" s="50" t="s">
        <v>38</v>
      </c>
      <c r="B481" s="50" t="s">
        <v>440</v>
      </c>
      <c r="C481" s="50" t="s">
        <v>69</v>
      </c>
      <c r="D481" s="50">
        <v>1</v>
      </c>
      <c r="E481" s="50">
        <v>1</v>
      </c>
      <c r="F481" s="50">
        <v>0</v>
      </c>
    </row>
    <row r="482" spans="1:6" x14ac:dyDescent="0.25">
      <c r="A482" s="50" t="s">
        <v>49</v>
      </c>
      <c r="B482" s="50" t="s">
        <v>491</v>
      </c>
      <c r="C482" s="50" t="s">
        <v>67</v>
      </c>
      <c r="D482" s="50">
        <v>7</v>
      </c>
      <c r="E482" s="50">
        <v>12</v>
      </c>
      <c r="F482" s="50">
        <v>-5</v>
      </c>
    </row>
    <row r="483" spans="1:6" x14ac:dyDescent="0.25">
      <c r="A483" s="50" t="s">
        <v>38</v>
      </c>
      <c r="B483" s="50" t="s">
        <v>568</v>
      </c>
      <c r="C483" s="50" t="s">
        <v>67</v>
      </c>
      <c r="D483" s="50">
        <v>5</v>
      </c>
      <c r="E483" s="50">
        <v>3</v>
      </c>
      <c r="F483" s="50">
        <v>2</v>
      </c>
    </row>
    <row r="484" spans="1:6" x14ac:dyDescent="0.25">
      <c r="A484" s="50" t="s">
        <v>35</v>
      </c>
      <c r="B484" s="50" t="s">
        <v>603</v>
      </c>
      <c r="C484" s="50" t="s">
        <v>37</v>
      </c>
      <c r="D484" s="50">
        <v>4</v>
      </c>
      <c r="E484" s="50">
        <v>1</v>
      </c>
      <c r="F484" s="50">
        <v>3</v>
      </c>
    </row>
    <row r="485" spans="1:6" x14ac:dyDescent="0.25">
      <c r="A485" s="50" t="s">
        <v>49</v>
      </c>
      <c r="B485" s="50" t="s">
        <v>237</v>
      </c>
      <c r="C485" s="50" t="s">
        <v>46</v>
      </c>
      <c r="D485" s="50">
        <v>7</v>
      </c>
      <c r="E485" s="50">
        <v>13</v>
      </c>
      <c r="F485" s="50">
        <v>-6</v>
      </c>
    </row>
    <row r="486" spans="1:6" x14ac:dyDescent="0.25">
      <c r="A486" s="50" t="s">
        <v>38</v>
      </c>
      <c r="B486" s="50" t="s">
        <v>257</v>
      </c>
      <c r="C486" s="50" t="s">
        <v>43</v>
      </c>
      <c r="D486" s="50">
        <v>12</v>
      </c>
      <c r="E486" s="50">
        <v>10</v>
      </c>
      <c r="F486" s="50">
        <v>2</v>
      </c>
    </row>
    <row r="487" spans="1:6" x14ac:dyDescent="0.25">
      <c r="A487" s="50" t="s">
        <v>38</v>
      </c>
      <c r="B487" s="50" t="s">
        <v>93</v>
      </c>
      <c r="C487" s="50" t="s">
        <v>69</v>
      </c>
      <c r="D487" s="50">
        <v>4</v>
      </c>
      <c r="E487" s="50">
        <v>6</v>
      </c>
      <c r="F487" s="50">
        <v>-2</v>
      </c>
    </row>
    <row r="488" spans="1:6" x14ac:dyDescent="0.25">
      <c r="A488" s="50" t="s">
        <v>38</v>
      </c>
      <c r="B488" s="50" t="s">
        <v>88</v>
      </c>
      <c r="C488" s="50" t="s">
        <v>98</v>
      </c>
      <c r="D488" s="50">
        <v>9</v>
      </c>
      <c r="E488" s="50">
        <v>6</v>
      </c>
      <c r="F488" s="50">
        <v>3</v>
      </c>
    </row>
    <row r="489" spans="1:6" x14ac:dyDescent="0.25">
      <c r="A489" s="50" t="s">
        <v>44</v>
      </c>
      <c r="B489" s="50" t="s">
        <v>634</v>
      </c>
      <c r="C489" s="50" t="s">
        <v>483</v>
      </c>
      <c r="D489" s="50">
        <v>6</v>
      </c>
      <c r="E489" s="50">
        <v>1</v>
      </c>
      <c r="F489" s="50">
        <v>5</v>
      </c>
    </row>
    <row r="490" spans="1:6" x14ac:dyDescent="0.25">
      <c r="A490" s="50" t="s">
        <v>38</v>
      </c>
      <c r="B490" s="50" t="s">
        <v>566</v>
      </c>
      <c r="C490" s="50" t="s">
        <v>67</v>
      </c>
      <c r="D490" s="50">
        <v>8</v>
      </c>
      <c r="E490" s="50">
        <v>3</v>
      </c>
      <c r="F490" s="50">
        <v>5</v>
      </c>
    </row>
    <row r="491" spans="1:6" x14ac:dyDescent="0.25">
      <c r="A491" s="50" t="s">
        <v>49</v>
      </c>
      <c r="B491" s="50" t="s">
        <v>274</v>
      </c>
      <c r="C491" s="50" t="s">
        <v>490</v>
      </c>
      <c r="D491" s="50">
        <v>3</v>
      </c>
      <c r="E491" s="50">
        <v>8</v>
      </c>
      <c r="F491" s="50">
        <v>-5</v>
      </c>
    </row>
    <row r="492" spans="1:6" x14ac:dyDescent="0.25">
      <c r="A492" s="50" t="s">
        <v>44</v>
      </c>
      <c r="B492" s="50" t="s">
        <v>532</v>
      </c>
      <c r="C492" s="50" t="s">
        <v>483</v>
      </c>
      <c r="D492" s="50">
        <v>5</v>
      </c>
      <c r="E492" s="50">
        <v>6</v>
      </c>
      <c r="F492" s="50">
        <v>-1</v>
      </c>
    </row>
    <row r="493" spans="1:6" x14ac:dyDescent="0.25">
      <c r="A493" s="50" t="s">
        <v>49</v>
      </c>
      <c r="B493" s="50" t="s">
        <v>385</v>
      </c>
      <c r="C493" s="50" t="s">
        <v>84</v>
      </c>
      <c r="D493" s="50">
        <v>20</v>
      </c>
      <c r="E493" s="50">
        <v>21</v>
      </c>
      <c r="F493" s="50">
        <v>-1</v>
      </c>
    </row>
    <row r="494" spans="1:6" x14ac:dyDescent="0.25">
      <c r="A494" s="50" t="s">
        <v>44</v>
      </c>
      <c r="B494" s="50" t="s">
        <v>180</v>
      </c>
      <c r="C494" s="50" t="s">
        <v>41</v>
      </c>
      <c r="D494" s="50">
        <v>4</v>
      </c>
      <c r="E494" s="50">
        <v>3</v>
      </c>
      <c r="F494" s="50">
        <v>1</v>
      </c>
    </row>
    <row r="495" spans="1:6" x14ac:dyDescent="0.25">
      <c r="A495" s="50" t="s">
        <v>44</v>
      </c>
      <c r="B495" s="50" t="s">
        <v>352</v>
      </c>
      <c r="C495" s="50" t="s">
        <v>54</v>
      </c>
      <c r="D495" s="50">
        <v>1</v>
      </c>
      <c r="E495" s="50">
        <v>1</v>
      </c>
      <c r="F495" s="50">
        <v>0</v>
      </c>
    </row>
    <row r="496" spans="1:6" x14ac:dyDescent="0.25">
      <c r="A496" s="50" t="s">
        <v>44</v>
      </c>
      <c r="B496" s="50" t="s">
        <v>403</v>
      </c>
      <c r="C496" s="50" t="s">
        <v>41</v>
      </c>
      <c r="D496" s="50">
        <v>7</v>
      </c>
      <c r="E496" s="50">
        <v>5</v>
      </c>
      <c r="F496" s="50">
        <v>2</v>
      </c>
    </row>
    <row r="497" spans="1:6" x14ac:dyDescent="0.25">
      <c r="A497" s="50" t="s">
        <v>44</v>
      </c>
      <c r="B497" s="50" t="s">
        <v>594</v>
      </c>
      <c r="C497" s="50" t="s">
        <v>490</v>
      </c>
      <c r="D497" s="50">
        <v>2</v>
      </c>
      <c r="E497" s="50">
        <v>2</v>
      </c>
      <c r="F497" s="50">
        <v>0</v>
      </c>
    </row>
    <row r="498" spans="1:6" x14ac:dyDescent="0.25">
      <c r="A498" s="50" t="s">
        <v>38</v>
      </c>
      <c r="B498" s="50" t="s">
        <v>622</v>
      </c>
      <c r="C498" s="50" t="s">
        <v>43</v>
      </c>
      <c r="D498" s="50">
        <v>1</v>
      </c>
      <c r="E498" s="50">
        <v>1</v>
      </c>
      <c r="F498" s="50">
        <v>0</v>
      </c>
    </row>
    <row r="499" spans="1:6" x14ac:dyDescent="0.25">
      <c r="A499" s="50" t="s">
        <v>44</v>
      </c>
      <c r="B499" s="50" t="s">
        <v>100</v>
      </c>
      <c r="C499" s="50" t="s">
        <v>96</v>
      </c>
      <c r="D499" s="50">
        <v>7</v>
      </c>
      <c r="E499" s="50">
        <v>10</v>
      </c>
      <c r="F499" s="50">
        <v>-3</v>
      </c>
    </row>
    <row r="500" spans="1:6" x14ac:dyDescent="0.25">
      <c r="A500" s="50" t="s">
        <v>44</v>
      </c>
      <c r="B500" s="50" t="s">
        <v>168</v>
      </c>
      <c r="C500" s="50" t="s">
        <v>62</v>
      </c>
      <c r="D500" s="50">
        <v>13</v>
      </c>
      <c r="E500" s="50">
        <v>18</v>
      </c>
      <c r="F500" s="50">
        <v>-5</v>
      </c>
    </row>
    <row r="501" spans="1:6" x14ac:dyDescent="0.25">
      <c r="A501" s="50" t="s">
        <v>44</v>
      </c>
      <c r="B501" s="50" t="s">
        <v>394</v>
      </c>
      <c r="C501" s="50" t="s">
        <v>37</v>
      </c>
      <c r="D501" s="50">
        <v>17</v>
      </c>
      <c r="E501" s="50">
        <v>17</v>
      </c>
      <c r="F501" s="50">
        <v>0</v>
      </c>
    </row>
    <row r="502" spans="1:6" x14ac:dyDescent="0.25">
      <c r="A502" s="50" t="s">
        <v>38</v>
      </c>
      <c r="B502" s="50" t="s">
        <v>561</v>
      </c>
      <c r="C502" s="50" t="s">
        <v>483</v>
      </c>
      <c r="D502" s="50">
        <v>3</v>
      </c>
      <c r="E502" s="50">
        <v>4</v>
      </c>
      <c r="F502" s="50">
        <v>-1</v>
      </c>
    </row>
    <row r="503" spans="1:6" x14ac:dyDescent="0.25">
      <c r="A503" s="50" t="s">
        <v>38</v>
      </c>
      <c r="B503" s="50" t="s">
        <v>398</v>
      </c>
      <c r="C503" s="50" t="s">
        <v>41</v>
      </c>
      <c r="D503" s="50">
        <v>6</v>
      </c>
      <c r="E503" s="50">
        <v>4</v>
      </c>
      <c r="F503" s="50">
        <v>2</v>
      </c>
    </row>
    <row r="504" spans="1:6" x14ac:dyDescent="0.25">
      <c r="A504" s="50" t="s">
        <v>44</v>
      </c>
      <c r="B504" s="50" t="s">
        <v>530</v>
      </c>
      <c r="C504" s="50" t="s">
        <v>98</v>
      </c>
      <c r="D504" s="50">
        <v>3</v>
      </c>
      <c r="E504" s="50">
        <v>6</v>
      </c>
      <c r="F504" s="50">
        <v>-3</v>
      </c>
    </row>
    <row r="505" spans="1:6" x14ac:dyDescent="0.25">
      <c r="A505" s="50" t="s">
        <v>44</v>
      </c>
      <c r="B505" s="50" t="s">
        <v>624</v>
      </c>
      <c r="C505" s="50" t="s">
        <v>69</v>
      </c>
      <c r="D505" s="50">
        <v>2</v>
      </c>
      <c r="E505" s="50">
        <v>1</v>
      </c>
      <c r="F505" s="50">
        <v>1</v>
      </c>
    </row>
    <row r="506" spans="1:6" x14ac:dyDescent="0.25">
      <c r="A506" s="50" t="s">
        <v>38</v>
      </c>
      <c r="B506" s="50" t="s">
        <v>359</v>
      </c>
      <c r="C506" s="50" t="s">
        <v>37</v>
      </c>
      <c r="D506" s="50">
        <v>6</v>
      </c>
      <c r="E506" s="50">
        <v>6</v>
      </c>
      <c r="F506" s="50">
        <v>0</v>
      </c>
    </row>
    <row r="507" spans="1:6" x14ac:dyDescent="0.25">
      <c r="A507" s="50" t="s">
        <v>44</v>
      </c>
      <c r="B507" s="50" t="s">
        <v>246</v>
      </c>
      <c r="C507" s="50" t="s">
        <v>490</v>
      </c>
      <c r="D507" s="50">
        <v>4</v>
      </c>
      <c r="E507" s="50">
        <v>9</v>
      </c>
      <c r="F507" s="50">
        <v>-5</v>
      </c>
    </row>
    <row r="508" spans="1:6" x14ac:dyDescent="0.25">
      <c r="A508" s="50" t="s">
        <v>35</v>
      </c>
      <c r="B508" s="50" t="s">
        <v>202</v>
      </c>
      <c r="C508" s="50" t="s">
        <v>41</v>
      </c>
      <c r="D508" s="50">
        <v>8</v>
      </c>
      <c r="E508" s="50">
        <v>8</v>
      </c>
      <c r="F508" s="50">
        <v>0</v>
      </c>
    </row>
    <row r="509" spans="1:6" x14ac:dyDescent="0.25">
      <c r="A509" s="50" t="s">
        <v>49</v>
      </c>
      <c r="B509" s="50" t="s">
        <v>643</v>
      </c>
      <c r="C509" s="50" t="s">
        <v>37</v>
      </c>
      <c r="D509" s="50">
        <v>1</v>
      </c>
      <c r="E509" s="50">
        <v>1</v>
      </c>
      <c r="F509" s="50">
        <v>0</v>
      </c>
    </row>
    <row r="510" spans="1:6" x14ac:dyDescent="0.25">
      <c r="A510" s="50" t="s">
        <v>44</v>
      </c>
      <c r="B510" s="50" t="s">
        <v>531</v>
      </c>
      <c r="C510" s="50" t="s">
        <v>490</v>
      </c>
      <c r="D510" s="50">
        <v>4</v>
      </c>
      <c r="E510" s="50">
        <v>6</v>
      </c>
      <c r="F510" s="50">
        <v>-2</v>
      </c>
    </row>
    <row r="511" spans="1:6" x14ac:dyDescent="0.25">
      <c r="A511" s="50" t="s">
        <v>35</v>
      </c>
      <c r="B511" s="50" t="s">
        <v>606</v>
      </c>
      <c r="C511" s="50" t="s">
        <v>59</v>
      </c>
      <c r="D511" s="50">
        <v>1</v>
      </c>
      <c r="E511" s="50">
        <v>1</v>
      </c>
      <c r="F511" s="50">
        <v>0</v>
      </c>
    </row>
    <row r="512" spans="1:6" x14ac:dyDescent="0.25">
      <c r="A512" s="50" t="s">
        <v>38</v>
      </c>
      <c r="B512" s="50" t="s">
        <v>477</v>
      </c>
      <c r="C512" s="50" t="s">
        <v>96</v>
      </c>
      <c r="D512" s="50">
        <v>11</v>
      </c>
      <c r="E512" s="50">
        <v>14</v>
      </c>
      <c r="F512" s="50">
        <v>-3</v>
      </c>
    </row>
    <row r="513" spans="1:6" x14ac:dyDescent="0.25">
      <c r="A513" s="50" t="s">
        <v>38</v>
      </c>
      <c r="B513" s="50" t="s">
        <v>326</v>
      </c>
      <c r="C513" s="50" t="s">
        <v>133</v>
      </c>
      <c r="D513" s="50">
        <v>5</v>
      </c>
      <c r="E513" s="50">
        <v>5</v>
      </c>
      <c r="F513" s="50">
        <v>0</v>
      </c>
    </row>
    <row r="514" spans="1:6" x14ac:dyDescent="0.25">
      <c r="A514" s="50" t="s">
        <v>38</v>
      </c>
      <c r="B514" s="50" t="s">
        <v>678</v>
      </c>
      <c r="C514" s="50" t="s">
        <v>67</v>
      </c>
      <c r="D514" s="50">
        <v>1</v>
      </c>
      <c r="E514" s="50">
        <v>1</v>
      </c>
      <c r="F514" s="50">
        <v>0</v>
      </c>
    </row>
    <row r="515" spans="1:6" x14ac:dyDescent="0.25">
      <c r="A515" s="50" t="s">
        <v>49</v>
      </c>
      <c r="B515" s="50" t="s">
        <v>584</v>
      </c>
      <c r="C515" s="50" t="s">
        <v>62</v>
      </c>
      <c r="D515" s="50">
        <v>1</v>
      </c>
      <c r="E515" s="50">
        <v>3</v>
      </c>
      <c r="F515" s="50">
        <v>-2</v>
      </c>
    </row>
    <row r="516" spans="1:6" x14ac:dyDescent="0.25">
      <c r="A516" s="50" t="s">
        <v>38</v>
      </c>
      <c r="B516" s="50" t="s">
        <v>309</v>
      </c>
      <c r="C516" s="50" t="s">
        <v>490</v>
      </c>
      <c r="D516" s="50">
        <v>7</v>
      </c>
      <c r="E516" s="50">
        <v>5</v>
      </c>
      <c r="F516" s="50">
        <v>2</v>
      </c>
    </row>
    <row r="517" spans="1:6" x14ac:dyDescent="0.25">
      <c r="A517" s="50" t="s">
        <v>44</v>
      </c>
      <c r="B517" s="50" t="s">
        <v>628</v>
      </c>
      <c r="C517" s="50" t="s">
        <v>84</v>
      </c>
      <c r="D517" s="50">
        <v>9</v>
      </c>
      <c r="E517" s="50">
        <v>1</v>
      </c>
      <c r="F517" s="50">
        <v>8</v>
      </c>
    </row>
    <row r="518" spans="1:6" x14ac:dyDescent="0.25">
      <c r="A518" s="50" t="s">
        <v>38</v>
      </c>
      <c r="B518" s="50" t="s">
        <v>161</v>
      </c>
      <c r="C518" s="50" t="s">
        <v>40</v>
      </c>
      <c r="D518" s="50">
        <v>5</v>
      </c>
      <c r="E518" s="50">
        <v>4</v>
      </c>
      <c r="F518" s="50">
        <v>1</v>
      </c>
    </row>
    <row r="519" spans="1:6" x14ac:dyDescent="0.25">
      <c r="A519" s="50" t="s">
        <v>49</v>
      </c>
      <c r="B519" s="50" t="s">
        <v>238</v>
      </c>
      <c r="C519" s="50" t="s">
        <v>43</v>
      </c>
      <c r="D519" s="50">
        <v>31</v>
      </c>
      <c r="E519" s="50">
        <v>26</v>
      </c>
      <c r="F519" s="50">
        <v>5</v>
      </c>
    </row>
    <row r="520" spans="1:6" x14ac:dyDescent="0.25">
      <c r="A520" s="50" t="s">
        <v>49</v>
      </c>
      <c r="B520" s="50" t="s">
        <v>470</v>
      </c>
      <c r="C520" s="50" t="s">
        <v>108</v>
      </c>
      <c r="D520" s="50">
        <v>16</v>
      </c>
      <c r="E520" s="50">
        <v>22</v>
      </c>
      <c r="F520" s="50">
        <v>-6</v>
      </c>
    </row>
    <row r="521" spans="1:6" x14ac:dyDescent="0.25">
      <c r="A521" s="50" t="s">
        <v>38</v>
      </c>
      <c r="B521" s="50" t="s">
        <v>679</v>
      </c>
      <c r="C521" s="50" t="s">
        <v>67</v>
      </c>
      <c r="D521" s="50">
        <v>2</v>
      </c>
      <c r="E521" s="50">
        <v>2</v>
      </c>
      <c r="F521" s="50">
        <v>0</v>
      </c>
    </row>
    <row r="522" spans="1:6" x14ac:dyDescent="0.25">
      <c r="A522" s="50" t="s">
        <v>44</v>
      </c>
      <c r="B522" s="50" t="s">
        <v>90</v>
      </c>
      <c r="C522" s="50" t="s">
        <v>62</v>
      </c>
      <c r="D522" s="50">
        <v>14</v>
      </c>
      <c r="E522" s="50">
        <v>14</v>
      </c>
      <c r="F522" s="50">
        <v>0</v>
      </c>
    </row>
    <row r="523" spans="1:6" x14ac:dyDescent="0.25">
      <c r="A523" s="50" t="s">
        <v>38</v>
      </c>
      <c r="B523" s="50" t="s">
        <v>207</v>
      </c>
      <c r="C523" s="50" t="s">
        <v>59</v>
      </c>
      <c r="D523" s="50">
        <v>3</v>
      </c>
      <c r="E523" s="50">
        <v>5</v>
      </c>
      <c r="F523" s="50">
        <v>-2</v>
      </c>
    </row>
    <row r="524" spans="1:6" ht="14.4" x14ac:dyDescent="0.3">
      <c r="A524" s="98"/>
      <c r="B524" s="98"/>
      <c r="C524" s="98"/>
      <c r="D524" s="98"/>
      <c r="E524" s="98"/>
      <c r="F524" s="98"/>
    </row>
    <row r="525" spans="1:6" ht="14.4" x14ac:dyDescent="0.3">
      <c r="A525" s="98"/>
      <c r="B525" s="98"/>
      <c r="C525" s="98"/>
      <c r="D525" s="98"/>
      <c r="E525" s="98"/>
      <c r="F525" s="98"/>
    </row>
    <row r="526" spans="1:6" ht="14.4" x14ac:dyDescent="0.3">
      <c r="A526" s="98"/>
      <c r="B526" s="98"/>
      <c r="C526" s="98"/>
      <c r="D526" s="98"/>
      <c r="E526" s="98"/>
      <c r="F526" s="98"/>
    </row>
    <row r="527" spans="1:6" ht="14.4" x14ac:dyDescent="0.3">
      <c r="A527" s="98"/>
      <c r="B527" s="98"/>
      <c r="C527" s="98"/>
      <c r="D527" s="98"/>
      <c r="E527" s="98"/>
      <c r="F527" s="98"/>
    </row>
    <row r="528" spans="1:6" ht="14.4" x14ac:dyDescent="0.3">
      <c r="A528" s="98"/>
      <c r="B528" s="98"/>
      <c r="C528" s="98"/>
      <c r="D528" s="98"/>
      <c r="E528" s="98"/>
      <c r="F528" s="98"/>
    </row>
    <row r="529" spans="1:6" ht="14.4" x14ac:dyDescent="0.3">
      <c r="A529" s="98"/>
      <c r="B529" s="98"/>
      <c r="C529" s="98"/>
      <c r="D529" s="98"/>
      <c r="E529" s="98"/>
      <c r="F529" s="98"/>
    </row>
    <row r="530" spans="1:6" ht="14.4" x14ac:dyDescent="0.3">
      <c r="A530" s="98"/>
      <c r="B530" s="98"/>
      <c r="C530" s="98"/>
      <c r="D530" s="98"/>
      <c r="E530" s="98"/>
      <c r="F530" s="98"/>
    </row>
    <row r="531" spans="1:6" ht="14.4" x14ac:dyDescent="0.3">
      <c r="A531" s="98"/>
      <c r="B531" s="98"/>
      <c r="C531" s="98"/>
      <c r="D531" s="98"/>
      <c r="E531" s="98"/>
      <c r="F531" s="98"/>
    </row>
    <row r="532" spans="1:6" ht="14.4" x14ac:dyDescent="0.3">
      <c r="A532" s="98"/>
      <c r="B532" s="98"/>
      <c r="C532" s="98"/>
      <c r="D532" s="98"/>
      <c r="E532" s="98"/>
      <c r="F532" s="98"/>
    </row>
    <row r="533" spans="1:6" ht="14.4" x14ac:dyDescent="0.3">
      <c r="A533" s="98"/>
      <c r="B533" s="98"/>
      <c r="C533" s="98"/>
      <c r="D533" s="98"/>
      <c r="E533" s="98"/>
      <c r="F533" s="98"/>
    </row>
    <row r="534" spans="1:6" ht="14.4" x14ac:dyDescent="0.3">
      <c r="A534" s="98"/>
      <c r="B534" s="98"/>
      <c r="C534" s="98"/>
      <c r="D534" s="98"/>
      <c r="E534" s="98"/>
      <c r="F534" s="98"/>
    </row>
    <row r="535" spans="1:6" ht="14.4" x14ac:dyDescent="0.3">
      <c r="A535" s="98"/>
      <c r="B535" s="98"/>
      <c r="C535" s="98"/>
      <c r="D535" s="98"/>
      <c r="E535" s="98"/>
      <c r="F535" s="98"/>
    </row>
    <row r="536" spans="1:6" ht="14.4" x14ac:dyDescent="0.3">
      <c r="A536" s="98"/>
      <c r="B536" s="98"/>
      <c r="C536" s="98"/>
      <c r="D536" s="98"/>
      <c r="E536" s="98"/>
      <c r="F536" s="98"/>
    </row>
    <row r="537" spans="1:6" ht="14.4" x14ac:dyDescent="0.3">
      <c r="A537" s="98"/>
      <c r="B537" s="98"/>
      <c r="C537" s="98"/>
      <c r="D537" s="98"/>
      <c r="E537" s="98"/>
      <c r="F537" s="98"/>
    </row>
    <row r="538" spans="1:6" ht="14.4" x14ac:dyDescent="0.3">
      <c r="A538" s="98"/>
      <c r="B538" s="98"/>
      <c r="C538" s="98"/>
      <c r="D538" s="98"/>
      <c r="E538" s="98"/>
      <c r="F538" s="98"/>
    </row>
    <row r="539" spans="1:6" ht="14.4" x14ac:dyDescent="0.3">
      <c r="A539" s="98"/>
      <c r="B539" s="98"/>
      <c r="C539" s="98"/>
      <c r="D539" s="98"/>
      <c r="E539" s="98"/>
      <c r="F539" s="98"/>
    </row>
    <row r="540" spans="1:6" ht="14.4" x14ac:dyDescent="0.3">
      <c r="A540" s="98"/>
      <c r="B540" s="98"/>
      <c r="C540" s="98"/>
      <c r="D540" s="98"/>
      <c r="E540" s="98"/>
      <c r="F540" s="98"/>
    </row>
    <row r="541" spans="1:6" ht="14.4" x14ac:dyDescent="0.3">
      <c r="A541" s="98"/>
      <c r="B541" s="98"/>
      <c r="C541" s="98"/>
      <c r="D541" s="98"/>
      <c r="E541" s="98"/>
      <c r="F541" s="98"/>
    </row>
    <row r="542" spans="1:6" ht="14.4" x14ac:dyDescent="0.3">
      <c r="A542" s="98"/>
      <c r="B542" s="98"/>
      <c r="C542" s="98"/>
      <c r="D542" s="98"/>
      <c r="E542" s="98"/>
      <c r="F542" s="98"/>
    </row>
    <row r="543" spans="1:6" ht="14.4" x14ac:dyDescent="0.3">
      <c r="A543" s="98"/>
      <c r="B543" s="98"/>
      <c r="C543" s="98"/>
      <c r="D543" s="98"/>
      <c r="E543" s="98"/>
      <c r="F543" s="98"/>
    </row>
    <row r="544" spans="1:6" ht="14.4" x14ac:dyDescent="0.3">
      <c r="A544" s="98"/>
      <c r="B544" s="98"/>
      <c r="C544" s="98"/>
      <c r="D544" s="98"/>
      <c r="E544" s="98"/>
      <c r="F544" s="98"/>
    </row>
    <row r="545" spans="1:6" ht="14.4" x14ac:dyDescent="0.3">
      <c r="A545" s="98"/>
      <c r="B545" s="98"/>
      <c r="C545" s="98"/>
      <c r="D545" s="98"/>
      <c r="E545" s="98"/>
      <c r="F545" s="98"/>
    </row>
    <row r="546" spans="1:6" ht="14.4" x14ac:dyDescent="0.3">
      <c r="A546" s="98"/>
      <c r="B546" s="98"/>
      <c r="C546" s="98"/>
      <c r="D546" s="98"/>
      <c r="E546" s="98"/>
      <c r="F546" s="98"/>
    </row>
    <row r="547" spans="1:6" ht="14.4" x14ac:dyDescent="0.3">
      <c r="A547" s="98"/>
      <c r="B547" s="98"/>
      <c r="C547" s="98"/>
      <c r="D547" s="98"/>
      <c r="E547" s="98"/>
      <c r="F547" s="98"/>
    </row>
    <row r="548" spans="1:6" ht="14.4" x14ac:dyDescent="0.3">
      <c r="A548" s="98"/>
      <c r="B548" s="98"/>
      <c r="C548" s="98"/>
      <c r="D548" s="98"/>
      <c r="E548" s="98"/>
      <c r="F548" s="98"/>
    </row>
    <row r="549" spans="1:6" ht="14.4" x14ac:dyDescent="0.3">
      <c r="A549" s="98"/>
      <c r="B549" s="98"/>
      <c r="C549" s="98"/>
      <c r="D549" s="98"/>
      <c r="E549" s="98"/>
      <c r="F549" s="98"/>
    </row>
  </sheetData>
  <autoFilter ref="A1:F1" xr:uid="{17CB2023-863C-4CD3-9496-E606D6C0C26A}">
    <sortState xmlns:xlrd2="http://schemas.microsoft.com/office/spreadsheetml/2017/richdata2" ref="A2:F518">
      <sortCondition ref="B1"/>
    </sortState>
  </autoFilter>
  <pageMargins left="0" right="0" top="0.39409448818897608" bottom="0.39409448818897608" header="0" footer="0"/>
  <pageSetup paperSize="9" orientation="portrait" r:id="rId1"/>
  <headerFooter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82F2-9A7C-40B3-BA76-97FCAD3F961C}">
  <sheetPr codeName="Foglio4"/>
  <dimension ref="A1:H635"/>
  <sheetViews>
    <sheetView zoomScale="70" zoomScaleNormal="70" workbookViewId="0">
      <pane ySplit="1" topLeftCell="A2" activePane="bottomLeft" state="frozen"/>
      <selection pane="bottomLeft" activeCell="E269" sqref="E269"/>
    </sheetView>
  </sheetViews>
  <sheetFormatPr defaultColWidth="9" defaultRowHeight="13.8" x14ac:dyDescent="0.25"/>
  <cols>
    <col min="1" max="1" width="6.19921875" style="50" bestFit="1" customWidth="1"/>
    <col min="2" max="2" width="5.8984375" style="50" bestFit="1" customWidth="1"/>
    <col min="3" max="3" width="17.69921875" style="50" bestFit="1" customWidth="1"/>
    <col min="4" max="4" width="12.69921875" style="50" bestFit="1" customWidth="1"/>
    <col min="5" max="5" width="9.3984375" style="50" bestFit="1" customWidth="1"/>
    <col min="6" max="7" width="8.5" style="50" bestFit="1" customWidth="1"/>
    <col min="8" max="8" width="9" style="72"/>
    <col min="9" max="16384" width="9" style="50"/>
  </cols>
  <sheetData>
    <row r="1" spans="1:7" ht="14.4" x14ac:dyDescent="0.3">
      <c r="A1" s="49" t="s">
        <v>28</v>
      </c>
      <c r="B1" s="49" t="s">
        <v>29</v>
      </c>
      <c r="C1" s="49" t="s">
        <v>30</v>
      </c>
      <c r="D1" s="49" t="s">
        <v>31</v>
      </c>
      <c r="E1" s="49" t="s">
        <v>442</v>
      </c>
      <c r="F1" s="49" t="s">
        <v>33</v>
      </c>
      <c r="G1" s="49" t="s">
        <v>34</v>
      </c>
    </row>
    <row r="2" spans="1:7" x14ac:dyDescent="0.25">
      <c r="A2" s="50">
        <v>353</v>
      </c>
      <c r="B2" s="50" t="s">
        <v>38</v>
      </c>
      <c r="C2" s="50" t="s">
        <v>156</v>
      </c>
      <c r="D2" s="50" t="s">
        <v>40</v>
      </c>
      <c r="E2" s="50">
        <v>7</v>
      </c>
      <c r="F2" s="50">
        <v>3</v>
      </c>
      <c r="G2" s="50">
        <v>4</v>
      </c>
    </row>
    <row r="3" spans="1:7" x14ac:dyDescent="0.25">
      <c r="A3" s="50">
        <v>513</v>
      </c>
      <c r="B3" s="50" t="s">
        <v>38</v>
      </c>
      <c r="C3" s="50" t="s">
        <v>210</v>
      </c>
      <c r="D3" s="50" t="s">
        <v>133</v>
      </c>
      <c r="E3" s="50">
        <v>14</v>
      </c>
      <c r="F3" s="50">
        <v>12</v>
      </c>
      <c r="G3" s="50">
        <v>2</v>
      </c>
    </row>
    <row r="4" spans="1:7" x14ac:dyDescent="0.25">
      <c r="A4" s="50">
        <v>555</v>
      </c>
      <c r="B4" s="50" t="s">
        <v>44</v>
      </c>
      <c r="C4" s="50" t="s">
        <v>225</v>
      </c>
      <c r="D4" s="50" t="s">
        <v>483</v>
      </c>
      <c r="E4" s="50">
        <v>6</v>
      </c>
      <c r="F4" s="50">
        <v>4</v>
      </c>
      <c r="G4" s="50">
        <v>2</v>
      </c>
    </row>
    <row r="5" spans="1:7" x14ac:dyDescent="0.25">
      <c r="A5" s="50">
        <v>824</v>
      </c>
      <c r="B5" s="50" t="s">
        <v>38</v>
      </c>
      <c r="C5" s="50" t="s">
        <v>281</v>
      </c>
      <c r="D5" s="50" t="s">
        <v>102</v>
      </c>
      <c r="E5" s="50">
        <v>2</v>
      </c>
      <c r="F5" s="50">
        <v>3</v>
      </c>
      <c r="G5" s="50">
        <v>-1</v>
      </c>
    </row>
    <row r="6" spans="1:7" x14ac:dyDescent="0.25">
      <c r="A6" s="50">
        <v>575</v>
      </c>
      <c r="B6" s="50" t="s">
        <v>38</v>
      </c>
      <c r="C6" s="50" t="s">
        <v>232</v>
      </c>
      <c r="D6" s="50" t="s">
        <v>43</v>
      </c>
      <c r="E6" s="50">
        <v>1</v>
      </c>
      <c r="F6" s="50">
        <v>3</v>
      </c>
      <c r="G6" s="50">
        <v>-2</v>
      </c>
    </row>
    <row r="7" spans="1:7" x14ac:dyDescent="0.25">
      <c r="A7" s="50">
        <v>2865</v>
      </c>
      <c r="B7" s="50" t="s">
        <v>38</v>
      </c>
      <c r="C7" s="50" t="s">
        <v>554</v>
      </c>
      <c r="D7" s="50" t="s">
        <v>108</v>
      </c>
      <c r="E7" s="50">
        <v>7</v>
      </c>
      <c r="F7" s="50">
        <v>4</v>
      </c>
      <c r="G7" s="50">
        <v>3</v>
      </c>
    </row>
    <row r="8" spans="1:7" x14ac:dyDescent="0.25">
      <c r="A8" s="50">
        <v>388</v>
      </c>
      <c r="B8" s="50" t="s">
        <v>38</v>
      </c>
      <c r="C8" s="50" t="s">
        <v>174</v>
      </c>
      <c r="D8" s="50" t="s">
        <v>62</v>
      </c>
      <c r="E8" s="50">
        <v>10</v>
      </c>
      <c r="F8" s="50">
        <v>13</v>
      </c>
      <c r="G8" s="50">
        <v>-3</v>
      </c>
    </row>
    <row r="9" spans="1:7" x14ac:dyDescent="0.25">
      <c r="A9" s="50">
        <v>662</v>
      </c>
      <c r="B9" s="50" t="s">
        <v>38</v>
      </c>
      <c r="C9" s="50" t="s">
        <v>254</v>
      </c>
      <c r="D9" s="50" t="s">
        <v>104</v>
      </c>
      <c r="E9" s="50">
        <v>15</v>
      </c>
      <c r="F9" s="50">
        <v>17</v>
      </c>
      <c r="G9" s="50">
        <v>-2</v>
      </c>
    </row>
    <row r="10" spans="1:7" x14ac:dyDescent="0.25">
      <c r="A10" s="50">
        <v>397</v>
      </c>
      <c r="B10" s="50" t="s">
        <v>44</v>
      </c>
      <c r="C10" s="50" t="s">
        <v>178</v>
      </c>
      <c r="D10" s="50" t="s">
        <v>62</v>
      </c>
      <c r="E10" s="50">
        <v>16</v>
      </c>
      <c r="F10" s="50">
        <v>17</v>
      </c>
      <c r="G10" s="50">
        <v>-1</v>
      </c>
    </row>
    <row r="11" spans="1:7" x14ac:dyDescent="0.25">
      <c r="A11" s="50">
        <v>2320</v>
      </c>
      <c r="B11" s="50" t="s">
        <v>38</v>
      </c>
      <c r="C11" s="50" t="s">
        <v>424</v>
      </c>
      <c r="D11" s="50" t="s">
        <v>98</v>
      </c>
      <c r="E11" s="50">
        <v>8</v>
      </c>
      <c r="F11" s="50">
        <v>6</v>
      </c>
      <c r="G11" s="50">
        <v>2</v>
      </c>
    </row>
    <row r="12" spans="1:7" x14ac:dyDescent="0.25">
      <c r="A12" s="50">
        <v>2175</v>
      </c>
      <c r="B12" s="50" t="s">
        <v>49</v>
      </c>
      <c r="C12" s="50" t="s">
        <v>368</v>
      </c>
      <c r="D12" s="50" t="s">
        <v>40</v>
      </c>
      <c r="E12" s="50">
        <v>11</v>
      </c>
      <c r="F12" s="50">
        <v>11</v>
      </c>
      <c r="G12" s="50">
        <v>0</v>
      </c>
    </row>
    <row r="13" spans="1:7" x14ac:dyDescent="0.25">
      <c r="A13" s="50">
        <v>251</v>
      </c>
      <c r="B13" s="50" t="s">
        <v>38</v>
      </c>
      <c r="C13" s="50" t="s">
        <v>119</v>
      </c>
      <c r="D13" s="50" t="s">
        <v>69</v>
      </c>
      <c r="E13" s="50">
        <v>1</v>
      </c>
      <c r="F13" s="50">
        <v>4</v>
      </c>
      <c r="G13" s="50">
        <v>-3</v>
      </c>
    </row>
    <row r="14" spans="1:7" x14ac:dyDescent="0.25">
      <c r="A14" s="50">
        <v>1984</v>
      </c>
      <c r="B14" s="50" t="s">
        <v>38</v>
      </c>
      <c r="C14" s="50" t="s">
        <v>317</v>
      </c>
      <c r="D14" s="50" t="s">
        <v>67</v>
      </c>
      <c r="E14" s="50">
        <v>3</v>
      </c>
      <c r="F14" s="50">
        <v>3</v>
      </c>
      <c r="G14" s="50">
        <v>0</v>
      </c>
    </row>
    <row r="15" spans="1:7" x14ac:dyDescent="0.25">
      <c r="A15" s="50">
        <v>706</v>
      </c>
      <c r="B15" s="50" t="s">
        <v>38</v>
      </c>
      <c r="C15" s="50" t="s">
        <v>261</v>
      </c>
      <c r="D15" s="50" t="s">
        <v>108</v>
      </c>
      <c r="E15" s="50">
        <v>11</v>
      </c>
      <c r="F15" s="50">
        <v>11</v>
      </c>
      <c r="G15" s="50">
        <v>0</v>
      </c>
    </row>
    <row r="16" spans="1:7" x14ac:dyDescent="0.25">
      <c r="A16" s="50">
        <v>2267</v>
      </c>
      <c r="B16" s="50" t="s">
        <v>49</v>
      </c>
      <c r="C16" s="50" t="s">
        <v>401</v>
      </c>
      <c r="D16" s="50" t="s">
        <v>41</v>
      </c>
      <c r="E16" s="50">
        <v>17</v>
      </c>
      <c r="F16" s="50">
        <v>25</v>
      </c>
      <c r="G16" s="50">
        <v>-8</v>
      </c>
    </row>
    <row r="17" spans="1:7" x14ac:dyDescent="0.25">
      <c r="A17" s="50">
        <v>356</v>
      </c>
      <c r="B17" s="50" t="s">
        <v>38</v>
      </c>
      <c r="C17" s="50" t="s">
        <v>157</v>
      </c>
      <c r="D17" s="50" t="s">
        <v>483</v>
      </c>
      <c r="E17" s="50">
        <v>4</v>
      </c>
      <c r="F17" s="50">
        <v>4</v>
      </c>
      <c r="G17" s="50">
        <v>0</v>
      </c>
    </row>
    <row r="18" spans="1:7" x14ac:dyDescent="0.25">
      <c r="A18" s="50">
        <v>2872</v>
      </c>
      <c r="B18" s="50" t="s">
        <v>49</v>
      </c>
      <c r="C18" s="50" t="s">
        <v>582</v>
      </c>
      <c r="D18" s="50" t="s">
        <v>490</v>
      </c>
      <c r="E18" s="50">
        <v>1</v>
      </c>
      <c r="F18" s="50">
        <v>3</v>
      </c>
      <c r="G18" s="50">
        <v>-2</v>
      </c>
    </row>
    <row r="19" spans="1:7" x14ac:dyDescent="0.25">
      <c r="A19" s="50">
        <v>1946</v>
      </c>
      <c r="B19" s="50" t="s">
        <v>35</v>
      </c>
      <c r="C19" s="50" t="s">
        <v>601</v>
      </c>
      <c r="D19" s="50" t="s">
        <v>46</v>
      </c>
      <c r="E19" s="50">
        <v>1</v>
      </c>
      <c r="F19" s="50">
        <v>1</v>
      </c>
      <c r="G19" s="50">
        <v>0</v>
      </c>
    </row>
    <row r="20" spans="1:7" x14ac:dyDescent="0.25">
      <c r="A20" s="50">
        <v>515</v>
      </c>
      <c r="B20" s="50" t="s">
        <v>38</v>
      </c>
      <c r="C20" s="50" t="s">
        <v>557</v>
      </c>
      <c r="D20" s="50" t="s">
        <v>490</v>
      </c>
      <c r="E20" s="50">
        <v>5</v>
      </c>
      <c r="F20" s="50">
        <v>4</v>
      </c>
      <c r="G20" s="50">
        <v>1</v>
      </c>
    </row>
    <row r="21" spans="1:7" x14ac:dyDescent="0.25">
      <c r="A21" s="50">
        <v>295</v>
      </c>
      <c r="B21" s="50" t="s">
        <v>38</v>
      </c>
      <c r="C21" s="50" t="s">
        <v>136</v>
      </c>
      <c r="D21" s="50" t="s">
        <v>96</v>
      </c>
      <c r="E21" s="50">
        <v>9</v>
      </c>
      <c r="F21" s="50">
        <v>9</v>
      </c>
      <c r="G21" s="50">
        <v>0</v>
      </c>
    </row>
    <row r="22" spans="1:7" x14ac:dyDescent="0.25">
      <c r="A22" s="50">
        <v>761</v>
      </c>
      <c r="B22" s="50" t="s">
        <v>35</v>
      </c>
      <c r="C22" s="50" t="s">
        <v>506</v>
      </c>
      <c r="D22" s="50" t="s">
        <v>98</v>
      </c>
      <c r="E22" s="50">
        <v>10</v>
      </c>
      <c r="F22" s="50">
        <v>9</v>
      </c>
      <c r="G22" s="50">
        <v>1</v>
      </c>
    </row>
    <row r="23" spans="1:7" x14ac:dyDescent="0.25">
      <c r="A23" s="50">
        <v>2650</v>
      </c>
      <c r="B23" s="50" t="s">
        <v>49</v>
      </c>
      <c r="C23" s="50" t="s">
        <v>434</v>
      </c>
      <c r="D23" s="50" t="s">
        <v>54</v>
      </c>
      <c r="E23" s="50">
        <v>2</v>
      </c>
      <c r="F23" s="50">
        <v>2</v>
      </c>
      <c r="G23" s="50">
        <v>0</v>
      </c>
    </row>
    <row r="24" spans="1:7" x14ac:dyDescent="0.25">
      <c r="A24" s="50">
        <v>183</v>
      </c>
      <c r="B24" s="50" t="s">
        <v>49</v>
      </c>
      <c r="C24" s="50" t="s">
        <v>101</v>
      </c>
      <c r="D24" s="50" t="s">
        <v>102</v>
      </c>
      <c r="E24" s="50">
        <v>16</v>
      </c>
      <c r="F24" s="50">
        <v>14</v>
      </c>
      <c r="G24" s="50">
        <v>2</v>
      </c>
    </row>
    <row r="25" spans="1:7" x14ac:dyDescent="0.25">
      <c r="A25" s="50">
        <v>170</v>
      </c>
      <c r="B25" s="50" t="s">
        <v>44</v>
      </c>
      <c r="C25" s="50" t="s">
        <v>94</v>
      </c>
      <c r="D25" s="50" t="s">
        <v>133</v>
      </c>
      <c r="E25" s="50">
        <v>4</v>
      </c>
      <c r="F25" s="50">
        <v>7</v>
      </c>
      <c r="G25" s="50">
        <v>-3</v>
      </c>
    </row>
    <row r="26" spans="1:7" x14ac:dyDescent="0.25">
      <c r="A26" s="50">
        <v>589</v>
      </c>
      <c r="B26" s="50" t="s">
        <v>44</v>
      </c>
      <c r="C26" s="50" t="s">
        <v>443</v>
      </c>
      <c r="D26" s="50" t="s">
        <v>67</v>
      </c>
      <c r="E26" s="50">
        <v>1</v>
      </c>
      <c r="F26" s="50">
        <v>5</v>
      </c>
      <c r="G26" s="50">
        <v>-4</v>
      </c>
    </row>
    <row r="27" spans="1:7" x14ac:dyDescent="0.25">
      <c r="A27" s="50">
        <v>2875</v>
      </c>
      <c r="B27" s="50" t="s">
        <v>35</v>
      </c>
      <c r="C27" s="50" t="s">
        <v>645</v>
      </c>
      <c r="D27" s="50" t="s">
        <v>484</v>
      </c>
      <c r="E27" s="50">
        <v>1</v>
      </c>
      <c r="F27" s="50">
        <v>1</v>
      </c>
      <c r="G27" s="50">
        <v>0</v>
      </c>
    </row>
    <row r="28" spans="1:7" x14ac:dyDescent="0.25">
      <c r="A28" s="50">
        <v>2639</v>
      </c>
      <c r="B28" s="50" t="s">
        <v>44</v>
      </c>
      <c r="C28" s="50" t="s">
        <v>496</v>
      </c>
      <c r="D28" s="50" t="s">
        <v>40</v>
      </c>
      <c r="E28" s="50">
        <v>9</v>
      </c>
      <c r="F28" s="50">
        <v>11</v>
      </c>
      <c r="G28" s="50">
        <v>-2</v>
      </c>
    </row>
    <row r="29" spans="1:7" x14ac:dyDescent="0.25">
      <c r="A29" s="50">
        <v>813</v>
      </c>
      <c r="B29" s="50" t="s">
        <v>44</v>
      </c>
      <c r="C29" s="50" t="s">
        <v>279</v>
      </c>
      <c r="D29" s="50" t="s">
        <v>67</v>
      </c>
      <c r="E29" s="50">
        <v>1</v>
      </c>
      <c r="F29" s="50">
        <v>3</v>
      </c>
      <c r="G29" s="50">
        <v>-2</v>
      </c>
    </row>
    <row r="30" spans="1:7" x14ac:dyDescent="0.25">
      <c r="A30" s="50">
        <v>2285</v>
      </c>
      <c r="B30" s="50" t="s">
        <v>38</v>
      </c>
      <c r="C30" s="50" t="s">
        <v>407</v>
      </c>
      <c r="D30" s="50" t="s">
        <v>69</v>
      </c>
      <c r="E30" s="50">
        <v>5</v>
      </c>
      <c r="F30" s="50">
        <v>6</v>
      </c>
      <c r="G30" s="50">
        <v>-1</v>
      </c>
    </row>
    <row r="31" spans="1:7" x14ac:dyDescent="0.25">
      <c r="A31" s="50">
        <v>2172</v>
      </c>
      <c r="B31" s="50" t="s">
        <v>44</v>
      </c>
      <c r="C31" s="50" t="s">
        <v>366</v>
      </c>
      <c r="D31" s="50" t="s">
        <v>67</v>
      </c>
      <c r="E31" s="50">
        <v>8</v>
      </c>
      <c r="F31" s="50">
        <v>15</v>
      </c>
      <c r="G31" s="50">
        <v>-7</v>
      </c>
    </row>
    <row r="32" spans="1:7" x14ac:dyDescent="0.25">
      <c r="A32" s="50">
        <v>2805</v>
      </c>
      <c r="B32" s="50" t="s">
        <v>49</v>
      </c>
      <c r="C32" s="50" t="s">
        <v>551</v>
      </c>
      <c r="D32" s="50" t="s">
        <v>484</v>
      </c>
      <c r="E32" s="50">
        <v>1</v>
      </c>
      <c r="F32" s="50">
        <v>5</v>
      </c>
      <c r="G32" s="50">
        <v>-4</v>
      </c>
    </row>
    <row r="33" spans="1:7" x14ac:dyDescent="0.25">
      <c r="A33" s="50">
        <v>134</v>
      </c>
      <c r="B33" s="50" t="s">
        <v>38</v>
      </c>
      <c r="C33" s="50" t="s">
        <v>555</v>
      </c>
      <c r="D33" s="50" t="s">
        <v>69</v>
      </c>
      <c r="E33" s="50">
        <v>5</v>
      </c>
      <c r="F33" s="50">
        <v>4</v>
      </c>
      <c r="G33" s="50">
        <v>1</v>
      </c>
    </row>
    <row r="34" spans="1:7" x14ac:dyDescent="0.25">
      <c r="A34" s="50">
        <v>799</v>
      </c>
      <c r="B34" s="50" t="s">
        <v>35</v>
      </c>
      <c r="C34" s="50" t="s">
        <v>604</v>
      </c>
      <c r="D34" s="50" t="s">
        <v>490</v>
      </c>
      <c r="E34" s="50">
        <v>1</v>
      </c>
      <c r="F34" s="50">
        <v>1</v>
      </c>
      <c r="G34" s="50">
        <v>0</v>
      </c>
    </row>
    <row r="35" spans="1:7" x14ac:dyDescent="0.25">
      <c r="A35" s="50">
        <v>1870</v>
      </c>
      <c r="B35" s="50" t="s">
        <v>44</v>
      </c>
      <c r="C35" s="50" t="s">
        <v>294</v>
      </c>
      <c r="D35" s="50" t="s">
        <v>46</v>
      </c>
      <c r="E35" s="50">
        <v>13</v>
      </c>
      <c r="F35" s="50">
        <v>14</v>
      </c>
      <c r="G35" s="50">
        <v>-1</v>
      </c>
    </row>
    <row r="36" spans="1:7" x14ac:dyDescent="0.25">
      <c r="A36" s="50">
        <v>2802</v>
      </c>
      <c r="B36" s="50" t="s">
        <v>44</v>
      </c>
      <c r="C36" s="50" t="s">
        <v>578</v>
      </c>
      <c r="D36" s="50" t="s">
        <v>484</v>
      </c>
      <c r="E36" s="50">
        <v>7</v>
      </c>
      <c r="F36" s="50">
        <v>3</v>
      </c>
      <c r="G36" s="50">
        <v>4</v>
      </c>
    </row>
    <row r="37" spans="1:7" x14ac:dyDescent="0.25">
      <c r="A37" s="50">
        <v>494</v>
      </c>
      <c r="B37" s="50" t="s">
        <v>44</v>
      </c>
      <c r="C37" s="50" t="s">
        <v>548</v>
      </c>
      <c r="D37" s="50" t="s">
        <v>98</v>
      </c>
      <c r="E37" s="50">
        <v>5</v>
      </c>
      <c r="F37" s="50">
        <v>5</v>
      </c>
      <c r="G37" s="50">
        <v>0</v>
      </c>
    </row>
    <row r="38" spans="1:7" x14ac:dyDescent="0.25">
      <c r="A38" s="50">
        <v>2719</v>
      </c>
      <c r="B38" s="50" t="s">
        <v>49</v>
      </c>
      <c r="C38" s="50" t="s">
        <v>500</v>
      </c>
      <c r="D38" s="50" t="s">
        <v>43</v>
      </c>
      <c r="E38" s="50">
        <v>8</v>
      </c>
      <c r="F38" s="50">
        <v>11</v>
      </c>
      <c r="G38" s="50">
        <v>-3</v>
      </c>
    </row>
    <row r="39" spans="1:7" x14ac:dyDescent="0.25">
      <c r="A39" s="50">
        <v>285</v>
      </c>
      <c r="B39" s="50" t="s">
        <v>38</v>
      </c>
      <c r="C39" s="50" t="s">
        <v>130</v>
      </c>
      <c r="D39" s="50" t="s">
        <v>104</v>
      </c>
      <c r="E39" s="50">
        <v>1</v>
      </c>
      <c r="F39" s="50">
        <v>3</v>
      </c>
      <c r="G39" s="50">
        <v>-2</v>
      </c>
    </row>
    <row r="40" spans="1:7" x14ac:dyDescent="0.25">
      <c r="A40" s="50">
        <v>556</v>
      </c>
      <c r="B40" s="50" t="s">
        <v>44</v>
      </c>
      <c r="C40" s="50" t="s">
        <v>226</v>
      </c>
      <c r="D40" s="50" t="s">
        <v>108</v>
      </c>
      <c r="E40" s="50">
        <v>13</v>
      </c>
      <c r="F40" s="50">
        <v>10</v>
      </c>
      <c r="G40" s="50">
        <v>3</v>
      </c>
    </row>
    <row r="41" spans="1:7" x14ac:dyDescent="0.25">
      <c r="A41" s="50">
        <v>319</v>
      </c>
      <c r="B41" s="50" t="s">
        <v>38</v>
      </c>
      <c r="C41" s="50" t="s">
        <v>145</v>
      </c>
      <c r="D41" s="50" t="s">
        <v>133</v>
      </c>
      <c r="E41" s="50">
        <v>1</v>
      </c>
      <c r="F41" s="50">
        <v>3</v>
      </c>
      <c r="G41" s="50">
        <v>-2</v>
      </c>
    </row>
    <row r="42" spans="1:7" x14ac:dyDescent="0.25">
      <c r="A42" s="50">
        <v>2120</v>
      </c>
      <c r="B42" s="50" t="s">
        <v>38</v>
      </c>
      <c r="C42" s="50" t="s">
        <v>348</v>
      </c>
      <c r="D42" s="50" t="s">
        <v>484</v>
      </c>
      <c r="E42" s="50">
        <v>6</v>
      </c>
      <c r="F42" s="50">
        <v>1</v>
      </c>
      <c r="G42" s="50">
        <v>5</v>
      </c>
    </row>
    <row r="43" spans="1:7" x14ac:dyDescent="0.25">
      <c r="A43" s="50">
        <v>2062</v>
      </c>
      <c r="B43" s="50" t="s">
        <v>38</v>
      </c>
      <c r="C43" s="50" t="s">
        <v>337</v>
      </c>
      <c r="D43" s="50" t="s">
        <v>133</v>
      </c>
      <c r="E43" s="50">
        <v>4</v>
      </c>
      <c r="F43" s="50">
        <v>8</v>
      </c>
      <c r="G43" s="50">
        <v>-4</v>
      </c>
    </row>
    <row r="44" spans="1:7" x14ac:dyDescent="0.25">
      <c r="A44" s="50">
        <v>2846</v>
      </c>
      <c r="B44" s="50" t="s">
        <v>44</v>
      </c>
      <c r="C44" s="50" t="s">
        <v>680</v>
      </c>
      <c r="D44" s="50" t="s">
        <v>98</v>
      </c>
      <c r="E44" s="50">
        <v>1</v>
      </c>
      <c r="F44" s="50">
        <v>1</v>
      </c>
      <c r="G44" s="50">
        <v>0</v>
      </c>
    </row>
    <row r="45" spans="1:7" x14ac:dyDescent="0.25">
      <c r="A45" s="50">
        <v>2105</v>
      </c>
      <c r="B45" s="50" t="s">
        <v>44</v>
      </c>
      <c r="C45" s="50" t="s">
        <v>596</v>
      </c>
      <c r="D45" s="50" t="s">
        <v>490</v>
      </c>
      <c r="E45" s="50">
        <v>6</v>
      </c>
      <c r="F45" s="50">
        <v>2</v>
      </c>
      <c r="G45" s="50">
        <v>4</v>
      </c>
    </row>
    <row r="46" spans="1:7" x14ac:dyDescent="0.25">
      <c r="A46" s="50">
        <v>2302</v>
      </c>
      <c r="B46" s="50" t="s">
        <v>44</v>
      </c>
      <c r="C46" s="50" t="s">
        <v>415</v>
      </c>
      <c r="D46" s="50" t="s">
        <v>67</v>
      </c>
      <c r="E46" s="50">
        <v>7</v>
      </c>
      <c r="F46" s="50">
        <v>4</v>
      </c>
      <c r="G46" s="50">
        <v>3</v>
      </c>
    </row>
    <row r="47" spans="1:7" x14ac:dyDescent="0.25">
      <c r="A47" s="50">
        <v>720</v>
      </c>
      <c r="B47" s="50" t="s">
        <v>35</v>
      </c>
      <c r="C47" s="50" t="s">
        <v>264</v>
      </c>
      <c r="D47" s="50" t="s">
        <v>98</v>
      </c>
      <c r="E47" s="50">
        <v>1</v>
      </c>
      <c r="F47" s="50">
        <v>1</v>
      </c>
      <c r="G47" s="50">
        <v>0</v>
      </c>
    </row>
    <row r="48" spans="1:7" x14ac:dyDescent="0.25">
      <c r="A48" s="50">
        <v>441</v>
      </c>
      <c r="B48" s="50" t="s">
        <v>49</v>
      </c>
      <c r="C48" s="50" t="s">
        <v>190</v>
      </c>
      <c r="D48" s="50" t="s">
        <v>108</v>
      </c>
      <c r="E48" s="50">
        <v>25</v>
      </c>
      <c r="F48" s="50">
        <v>29</v>
      </c>
      <c r="G48" s="50">
        <v>-4</v>
      </c>
    </row>
    <row r="49" spans="1:7" x14ac:dyDescent="0.25">
      <c r="A49" s="50">
        <v>557</v>
      </c>
      <c r="B49" s="50" t="s">
        <v>44</v>
      </c>
      <c r="C49" s="50" t="s">
        <v>227</v>
      </c>
      <c r="D49" s="50" t="s">
        <v>37</v>
      </c>
      <c r="E49" s="50">
        <v>15</v>
      </c>
      <c r="F49" s="50">
        <v>12</v>
      </c>
      <c r="G49" s="50">
        <v>3</v>
      </c>
    </row>
    <row r="50" spans="1:7" x14ac:dyDescent="0.25">
      <c r="A50" s="50">
        <v>1931</v>
      </c>
      <c r="B50" s="50" t="s">
        <v>38</v>
      </c>
      <c r="C50" s="50" t="s">
        <v>305</v>
      </c>
      <c r="D50" s="50" t="s">
        <v>104</v>
      </c>
      <c r="E50" s="50">
        <v>7</v>
      </c>
      <c r="F50" s="50">
        <v>10</v>
      </c>
      <c r="G50" s="50">
        <v>-3</v>
      </c>
    </row>
    <row r="51" spans="1:7" x14ac:dyDescent="0.25">
      <c r="A51" s="50">
        <v>2818</v>
      </c>
      <c r="B51" s="50" t="s">
        <v>44</v>
      </c>
      <c r="C51" s="50" t="s">
        <v>529</v>
      </c>
      <c r="D51" s="50" t="s">
        <v>483</v>
      </c>
      <c r="E51" s="50">
        <v>8</v>
      </c>
      <c r="F51" s="50">
        <v>6</v>
      </c>
      <c r="G51" s="50">
        <v>2</v>
      </c>
    </row>
    <row r="52" spans="1:7" x14ac:dyDescent="0.25">
      <c r="A52" s="50">
        <v>2166</v>
      </c>
      <c r="B52" s="50" t="s">
        <v>44</v>
      </c>
      <c r="C52" s="50" t="s">
        <v>360</v>
      </c>
      <c r="D52" s="50" t="s">
        <v>104</v>
      </c>
      <c r="E52" s="50">
        <v>8</v>
      </c>
      <c r="F52" s="50">
        <v>8</v>
      </c>
      <c r="G52" s="50">
        <v>0</v>
      </c>
    </row>
    <row r="53" spans="1:7" x14ac:dyDescent="0.25">
      <c r="A53" s="50">
        <v>531</v>
      </c>
      <c r="B53" s="50" t="s">
        <v>49</v>
      </c>
      <c r="C53" s="50" t="s">
        <v>216</v>
      </c>
      <c r="D53" s="50" t="s">
        <v>102</v>
      </c>
      <c r="E53" s="50">
        <v>17</v>
      </c>
      <c r="F53" s="50">
        <v>16</v>
      </c>
      <c r="G53" s="50">
        <v>1</v>
      </c>
    </row>
    <row r="54" spans="1:7" x14ac:dyDescent="0.25">
      <c r="A54" s="50">
        <v>2205</v>
      </c>
      <c r="B54" s="50" t="s">
        <v>44</v>
      </c>
      <c r="C54" s="50" t="s">
        <v>386</v>
      </c>
      <c r="D54" s="50" t="s">
        <v>108</v>
      </c>
      <c r="E54" s="50">
        <v>6</v>
      </c>
      <c r="F54" s="50">
        <v>5</v>
      </c>
      <c r="G54" s="50">
        <v>1</v>
      </c>
    </row>
    <row r="55" spans="1:7" x14ac:dyDescent="0.25">
      <c r="A55" s="50">
        <v>2104</v>
      </c>
      <c r="B55" s="50" t="s">
        <v>38</v>
      </c>
      <c r="C55" s="50" t="s">
        <v>346</v>
      </c>
      <c r="D55" s="50" t="s">
        <v>98</v>
      </c>
      <c r="E55" s="50">
        <v>5</v>
      </c>
      <c r="F55" s="50">
        <v>7</v>
      </c>
      <c r="G55" s="50">
        <v>-2</v>
      </c>
    </row>
    <row r="56" spans="1:7" x14ac:dyDescent="0.25">
      <c r="A56" s="50">
        <v>316</v>
      </c>
      <c r="B56" s="50" t="s">
        <v>35</v>
      </c>
      <c r="C56" s="50" t="s">
        <v>486</v>
      </c>
      <c r="D56" s="50" t="s">
        <v>43</v>
      </c>
      <c r="E56" s="50">
        <v>7</v>
      </c>
      <c r="F56" s="50">
        <v>12</v>
      </c>
      <c r="G56" s="50">
        <v>-5</v>
      </c>
    </row>
    <row r="57" spans="1:7" x14ac:dyDescent="0.25">
      <c r="A57" s="50">
        <v>2771</v>
      </c>
      <c r="B57" s="50" t="s">
        <v>44</v>
      </c>
      <c r="C57" s="50" t="s">
        <v>495</v>
      </c>
      <c r="D57" s="50" t="s">
        <v>133</v>
      </c>
      <c r="E57" s="50">
        <v>7</v>
      </c>
      <c r="F57" s="50">
        <v>11</v>
      </c>
      <c r="G57" s="50">
        <v>-4</v>
      </c>
    </row>
    <row r="58" spans="1:7" x14ac:dyDescent="0.25">
      <c r="A58" s="50">
        <v>184</v>
      </c>
      <c r="B58" s="50" t="s">
        <v>44</v>
      </c>
      <c r="C58" s="50" t="s">
        <v>103</v>
      </c>
      <c r="D58" s="50" t="s">
        <v>104</v>
      </c>
      <c r="E58" s="50">
        <v>14</v>
      </c>
      <c r="F58" s="50">
        <v>16</v>
      </c>
      <c r="G58" s="50">
        <v>-2</v>
      </c>
    </row>
    <row r="59" spans="1:7" x14ac:dyDescent="0.25">
      <c r="A59" s="50">
        <v>248</v>
      </c>
      <c r="B59" s="50" t="s">
        <v>35</v>
      </c>
      <c r="C59" s="50" t="s">
        <v>117</v>
      </c>
      <c r="D59" s="50" t="s">
        <v>96</v>
      </c>
      <c r="E59" s="50">
        <v>1</v>
      </c>
      <c r="F59" s="50">
        <v>1</v>
      </c>
      <c r="G59" s="50">
        <v>0</v>
      </c>
    </row>
    <row r="60" spans="1:7" x14ac:dyDescent="0.25">
      <c r="A60" s="50">
        <v>366</v>
      </c>
      <c r="B60" s="50" t="s">
        <v>44</v>
      </c>
      <c r="C60" s="50" t="s">
        <v>162</v>
      </c>
      <c r="D60" s="50" t="s">
        <v>40</v>
      </c>
      <c r="E60" s="50">
        <v>3</v>
      </c>
      <c r="F60" s="50">
        <v>8</v>
      </c>
      <c r="G60" s="50">
        <v>-5</v>
      </c>
    </row>
    <row r="61" spans="1:7" x14ac:dyDescent="0.25">
      <c r="A61" s="50">
        <v>264</v>
      </c>
      <c r="B61" s="50" t="s">
        <v>44</v>
      </c>
      <c r="C61" s="50" t="s">
        <v>126</v>
      </c>
      <c r="D61" s="50" t="s">
        <v>59</v>
      </c>
      <c r="E61" s="50">
        <v>8</v>
      </c>
      <c r="F61" s="50">
        <v>7</v>
      </c>
      <c r="G61" s="50">
        <v>1</v>
      </c>
    </row>
    <row r="62" spans="1:7" x14ac:dyDescent="0.25">
      <c r="A62" s="50">
        <v>2737</v>
      </c>
      <c r="B62" s="50" t="s">
        <v>38</v>
      </c>
      <c r="C62" s="50" t="s">
        <v>621</v>
      </c>
      <c r="D62" s="50" t="s">
        <v>43</v>
      </c>
      <c r="E62" s="50">
        <v>1</v>
      </c>
      <c r="F62" s="50">
        <v>1</v>
      </c>
      <c r="G62" s="50">
        <v>0</v>
      </c>
    </row>
    <row r="63" spans="1:7" x14ac:dyDescent="0.25">
      <c r="A63" s="50">
        <v>276</v>
      </c>
      <c r="B63" s="50" t="s">
        <v>44</v>
      </c>
      <c r="C63" s="50" t="s">
        <v>444</v>
      </c>
      <c r="D63" s="50" t="s">
        <v>484</v>
      </c>
      <c r="E63" s="50">
        <v>5</v>
      </c>
      <c r="F63" s="50">
        <v>5</v>
      </c>
      <c r="G63" s="50">
        <v>0</v>
      </c>
    </row>
    <row r="64" spans="1:7" x14ac:dyDescent="0.25">
      <c r="A64" s="50">
        <v>2783</v>
      </c>
      <c r="B64" s="50" t="s">
        <v>38</v>
      </c>
      <c r="C64" s="50" t="s">
        <v>619</v>
      </c>
      <c r="D64" s="50" t="s">
        <v>84</v>
      </c>
      <c r="E64" s="50">
        <v>1</v>
      </c>
      <c r="F64" s="50">
        <v>1</v>
      </c>
      <c r="G64" s="50">
        <v>0</v>
      </c>
    </row>
    <row r="65" spans="1:7" x14ac:dyDescent="0.25">
      <c r="A65" s="50">
        <v>331</v>
      </c>
      <c r="B65" s="50" t="s">
        <v>44</v>
      </c>
      <c r="C65" s="50" t="s">
        <v>149</v>
      </c>
      <c r="D65" s="50" t="s">
        <v>40</v>
      </c>
      <c r="E65" s="50">
        <v>6</v>
      </c>
      <c r="F65" s="50">
        <v>8</v>
      </c>
      <c r="G65" s="50">
        <v>-2</v>
      </c>
    </row>
    <row r="66" spans="1:7" x14ac:dyDescent="0.25">
      <c r="A66" s="50">
        <v>252</v>
      </c>
      <c r="B66" s="50" t="s">
        <v>38</v>
      </c>
      <c r="C66" s="50" t="s">
        <v>120</v>
      </c>
      <c r="D66" s="50" t="s">
        <v>37</v>
      </c>
      <c r="E66" s="50">
        <v>9</v>
      </c>
      <c r="F66" s="50">
        <v>6</v>
      </c>
      <c r="G66" s="50">
        <v>3</v>
      </c>
    </row>
    <row r="67" spans="1:7" x14ac:dyDescent="0.25">
      <c r="A67" s="50">
        <v>2083</v>
      </c>
      <c r="B67" s="50" t="s">
        <v>38</v>
      </c>
      <c r="C67" s="50" t="s">
        <v>342</v>
      </c>
      <c r="D67" s="50" t="s">
        <v>59</v>
      </c>
      <c r="E67" s="50">
        <v>8</v>
      </c>
      <c r="F67" s="50">
        <v>6</v>
      </c>
      <c r="G67" s="50">
        <v>2</v>
      </c>
    </row>
    <row r="68" spans="1:7" x14ac:dyDescent="0.25">
      <c r="A68" s="50">
        <v>111</v>
      </c>
      <c r="B68" s="50" t="s">
        <v>44</v>
      </c>
      <c r="C68" s="50" t="s">
        <v>74</v>
      </c>
      <c r="D68" s="50" t="s">
        <v>46</v>
      </c>
      <c r="E68" s="50">
        <v>13</v>
      </c>
      <c r="F68" s="50">
        <v>12</v>
      </c>
      <c r="G68" s="50">
        <v>1</v>
      </c>
    </row>
    <row r="69" spans="1:7" x14ac:dyDescent="0.25">
      <c r="A69" s="50">
        <v>771</v>
      </c>
      <c r="B69" s="50" t="s">
        <v>44</v>
      </c>
      <c r="C69" s="50" t="s">
        <v>472</v>
      </c>
      <c r="D69" s="50" t="s">
        <v>102</v>
      </c>
      <c r="E69" s="50">
        <v>20</v>
      </c>
      <c r="F69" s="50">
        <v>20</v>
      </c>
      <c r="G69" s="50">
        <v>0</v>
      </c>
    </row>
    <row r="70" spans="1:7" x14ac:dyDescent="0.25">
      <c r="A70" s="50">
        <v>2832</v>
      </c>
      <c r="B70" s="50" t="s">
        <v>44</v>
      </c>
      <c r="C70" s="50" t="s">
        <v>515</v>
      </c>
      <c r="D70" s="50" t="s">
        <v>102</v>
      </c>
      <c r="E70" s="50">
        <v>6</v>
      </c>
      <c r="F70" s="50">
        <v>8</v>
      </c>
      <c r="G70" s="50">
        <v>-2</v>
      </c>
    </row>
    <row r="71" spans="1:7" x14ac:dyDescent="0.25">
      <c r="A71" s="50">
        <v>367</v>
      </c>
      <c r="B71" s="50" t="s">
        <v>44</v>
      </c>
      <c r="C71" s="50" t="s">
        <v>163</v>
      </c>
      <c r="D71" s="50" t="s">
        <v>40</v>
      </c>
      <c r="E71" s="50">
        <v>17</v>
      </c>
      <c r="F71" s="50">
        <v>20</v>
      </c>
      <c r="G71" s="50">
        <v>-3</v>
      </c>
    </row>
    <row r="72" spans="1:7" x14ac:dyDescent="0.25">
      <c r="A72" s="50">
        <v>2192</v>
      </c>
      <c r="B72" s="50" t="s">
        <v>38</v>
      </c>
      <c r="C72" s="50" t="s">
        <v>377</v>
      </c>
      <c r="D72" s="50" t="s">
        <v>41</v>
      </c>
      <c r="E72" s="50">
        <v>6</v>
      </c>
      <c r="F72" s="50">
        <v>3</v>
      </c>
      <c r="G72" s="50">
        <v>3</v>
      </c>
    </row>
    <row r="73" spans="1:7" x14ac:dyDescent="0.25">
      <c r="A73" s="50">
        <v>286</v>
      </c>
      <c r="B73" s="50" t="s">
        <v>38</v>
      </c>
      <c r="C73" s="50" t="s">
        <v>131</v>
      </c>
      <c r="D73" s="50" t="s">
        <v>104</v>
      </c>
      <c r="E73" s="50">
        <v>12</v>
      </c>
      <c r="F73" s="50">
        <v>12</v>
      </c>
      <c r="G73" s="50">
        <v>0</v>
      </c>
    </row>
    <row r="74" spans="1:7" x14ac:dyDescent="0.25">
      <c r="A74" s="50">
        <v>2187</v>
      </c>
      <c r="B74" s="50" t="s">
        <v>44</v>
      </c>
      <c r="C74" s="50" t="s">
        <v>374</v>
      </c>
      <c r="D74" s="50" t="s">
        <v>40</v>
      </c>
      <c r="E74" s="50">
        <v>6</v>
      </c>
      <c r="F74" s="50">
        <v>6</v>
      </c>
      <c r="G74" s="50">
        <v>0</v>
      </c>
    </row>
    <row r="75" spans="1:7" x14ac:dyDescent="0.25">
      <c r="A75" s="50">
        <v>172</v>
      </c>
      <c r="B75" s="50" t="s">
        <v>44</v>
      </c>
      <c r="C75" s="50" t="s">
        <v>95</v>
      </c>
      <c r="D75" s="50" t="s">
        <v>96</v>
      </c>
      <c r="E75" s="50">
        <v>7</v>
      </c>
      <c r="F75" s="50">
        <v>6</v>
      </c>
      <c r="G75" s="50">
        <v>1</v>
      </c>
    </row>
    <row r="76" spans="1:7" x14ac:dyDescent="0.25">
      <c r="A76" s="50">
        <v>2331</v>
      </c>
      <c r="B76" s="50" t="s">
        <v>35</v>
      </c>
      <c r="C76" s="50" t="s">
        <v>427</v>
      </c>
      <c r="D76" s="50" t="s">
        <v>67</v>
      </c>
      <c r="E76" s="50">
        <v>1</v>
      </c>
      <c r="F76" s="50">
        <v>1</v>
      </c>
      <c r="G76" s="50">
        <v>0</v>
      </c>
    </row>
    <row r="77" spans="1:7" x14ac:dyDescent="0.25">
      <c r="A77" s="50">
        <v>2825</v>
      </c>
      <c r="B77" s="50" t="s">
        <v>44</v>
      </c>
      <c r="C77" s="50" t="s">
        <v>549</v>
      </c>
      <c r="D77" s="50" t="s">
        <v>102</v>
      </c>
      <c r="E77" s="50">
        <v>7</v>
      </c>
      <c r="F77" s="50">
        <v>5</v>
      </c>
      <c r="G77" s="50">
        <v>2</v>
      </c>
    </row>
    <row r="78" spans="1:7" x14ac:dyDescent="0.25">
      <c r="A78" s="50">
        <v>2854</v>
      </c>
      <c r="B78" s="50" t="s">
        <v>44</v>
      </c>
      <c r="C78" s="50" t="s">
        <v>509</v>
      </c>
      <c r="D78" s="50" t="s">
        <v>46</v>
      </c>
      <c r="E78" s="50">
        <v>6</v>
      </c>
      <c r="F78" s="50">
        <v>9</v>
      </c>
      <c r="G78" s="50">
        <v>-3</v>
      </c>
    </row>
    <row r="79" spans="1:7" x14ac:dyDescent="0.25">
      <c r="A79" s="50">
        <v>4336</v>
      </c>
      <c r="B79" s="50" t="s">
        <v>35</v>
      </c>
      <c r="C79" s="50" t="s">
        <v>646</v>
      </c>
      <c r="D79" s="50" t="s">
        <v>484</v>
      </c>
      <c r="E79" s="50">
        <v>1</v>
      </c>
      <c r="F79" s="50">
        <v>1</v>
      </c>
      <c r="G79" s="50">
        <v>0</v>
      </c>
    </row>
    <row r="80" spans="1:7" x14ac:dyDescent="0.25">
      <c r="A80" s="50">
        <v>2788</v>
      </c>
      <c r="B80" s="50" t="s">
        <v>38</v>
      </c>
      <c r="C80" s="50" t="s">
        <v>556</v>
      </c>
      <c r="D80" s="50" t="s">
        <v>108</v>
      </c>
      <c r="E80" s="50">
        <v>1</v>
      </c>
      <c r="F80" s="50">
        <v>4</v>
      </c>
      <c r="G80" s="50">
        <v>-3</v>
      </c>
    </row>
    <row r="81" spans="1:7" x14ac:dyDescent="0.25">
      <c r="A81" s="50">
        <v>2810</v>
      </c>
      <c r="B81" s="50" t="s">
        <v>38</v>
      </c>
      <c r="C81" s="50" t="s">
        <v>590</v>
      </c>
      <c r="D81" s="50" t="s">
        <v>490</v>
      </c>
      <c r="E81" s="50">
        <v>1</v>
      </c>
      <c r="F81" s="50">
        <v>2</v>
      </c>
      <c r="G81" s="50">
        <v>-1</v>
      </c>
    </row>
    <row r="82" spans="1:7" x14ac:dyDescent="0.25">
      <c r="A82" s="50">
        <v>56</v>
      </c>
      <c r="B82" s="50" t="s">
        <v>44</v>
      </c>
      <c r="C82" s="50" t="s">
        <v>595</v>
      </c>
      <c r="D82" s="50" t="s">
        <v>483</v>
      </c>
      <c r="E82" s="50">
        <v>2</v>
      </c>
      <c r="F82" s="50">
        <v>2</v>
      </c>
      <c r="G82" s="50">
        <v>0</v>
      </c>
    </row>
    <row r="83" spans="1:7" x14ac:dyDescent="0.25">
      <c r="A83" s="50">
        <v>2834</v>
      </c>
      <c r="B83" s="50" t="s">
        <v>38</v>
      </c>
      <c r="C83" s="50" t="s">
        <v>681</v>
      </c>
      <c r="D83" s="50" t="s">
        <v>54</v>
      </c>
      <c r="E83" s="50">
        <v>1</v>
      </c>
      <c r="F83" s="50">
        <v>1</v>
      </c>
      <c r="G83" s="50">
        <v>0</v>
      </c>
    </row>
    <row r="84" spans="1:7" x14ac:dyDescent="0.25">
      <c r="A84" s="50">
        <v>2317</v>
      </c>
      <c r="B84" s="50" t="s">
        <v>49</v>
      </c>
      <c r="C84" s="50" t="s">
        <v>422</v>
      </c>
      <c r="D84" s="50" t="s">
        <v>102</v>
      </c>
      <c r="E84" s="50">
        <v>6</v>
      </c>
      <c r="F84" s="50">
        <v>9</v>
      </c>
      <c r="G84" s="50">
        <v>-3</v>
      </c>
    </row>
    <row r="85" spans="1:7" x14ac:dyDescent="0.25">
      <c r="A85" s="50">
        <v>265</v>
      </c>
      <c r="B85" s="50" t="s">
        <v>44</v>
      </c>
      <c r="C85" s="50" t="s">
        <v>127</v>
      </c>
      <c r="D85" s="50" t="s">
        <v>96</v>
      </c>
      <c r="E85" s="50">
        <v>14</v>
      </c>
      <c r="F85" s="50">
        <v>16</v>
      </c>
      <c r="G85" s="50">
        <v>-2</v>
      </c>
    </row>
    <row r="86" spans="1:7" x14ac:dyDescent="0.25">
      <c r="A86" s="50">
        <v>1864</v>
      </c>
      <c r="B86" s="50" t="s">
        <v>38</v>
      </c>
      <c r="C86" s="50" t="s">
        <v>536</v>
      </c>
      <c r="D86" s="50" t="s">
        <v>484</v>
      </c>
      <c r="E86" s="50">
        <v>10</v>
      </c>
      <c r="F86" s="50">
        <v>5</v>
      </c>
      <c r="G86" s="50">
        <v>5</v>
      </c>
    </row>
    <row r="87" spans="1:7" x14ac:dyDescent="0.25">
      <c r="A87" s="50">
        <v>2332</v>
      </c>
      <c r="B87" s="50" t="s">
        <v>44</v>
      </c>
      <c r="C87" s="50" t="s">
        <v>428</v>
      </c>
      <c r="D87" s="50" t="s">
        <v>133</v>
      </c>
      <c r="E87" s="50">
        <v>1</v>
      </c>
      <c r="F87" s="50">
        <v>1</v>
      </c>
      <c r="G87" s="50">
        <v>0</v>
      </c>
    </row>
    <row r="88" spans="1:7" x14ac:dyDescent="0.25">
      <c r="A88" s="50">
        <v>2877</v>
      </c>
      <c r="B88" s="50" t="s">
        <v>44</v>
      </c>
      <c r="C88" s="50" t="s">
        <v>647</v>
      </c>
      <c r="D88" s="50" t="s">
        <v>69</v>
      </c>
      <c r="E88" s="50">
        <v>1</v>
      </c>
      <c r="F88" s="50">
        <v>1</v>
      </c>
      <c r="G88" s="50">
        <v>0</v>
      </c>
    </row>
    <row r="89" spans="1:7" x14ac:dyDescent="0.25">
      <c r="A89" s="50">
        <v>99</v>
      </c>
      <c r="B89" s="50" t="s">
        <v>38</v>
      </c>
      <c r="C89" s="50" t="s">
        <v>70</v>
      </c>
      <c r="D89" s="50" t="s">
        <v>46</v>
      </c>
      <c r="E89" s="50">
        <v>5</v>
      </c>
      <c r="F89" s="50">
        <v>7</v>
      </c>
      <c r="G89" s="50">
        <v>-2</v>
      </c>
    </row>
    <row r="90" spans="1:7" x14ac:dyDescent="0.25">
      <c r="A90" s="50">
        <v>287</v>
      </c>
      <c r="B90" s="50" t="s">
        <v>38</v>
      </c>
      <c r="C90" s="50" t="s">
        <v>132</v>
      </c>
      <c r="D90" s="50" t="s">
        <v>104</v>
      </c>
      <c r="E90" s="50">
        <v>3</v>
      </c>
      <c r="F90" s="50">
        <v>5</v>
      </c>
      <c r="G90" s="50">
        <v>-2</v>
      </c>
    </row>
    <row r="91" spans="1:7" x14ac:dyDescent="0.25">
      <c r="A91" s="50">
        <v>2284</v>
      </c>
      <c r="B91" s="50" t="s">
        <v>49</v>
      </c>
      <c r="C91" s="50" t="s">
        <v>406</v>
      </c>
      <c r="D91" s="50" t="s">
        <v>133</v>
      </c>
      <c r="E91" s="50">
        <v>5</v>
      </c>
      <c r="F91" s="50">
        <v>6</v>
      </c>
      <c r="G91" s="50">
        <v>-1</v>
      </c>
    </row>
    <row r="92" spans="1:7" x14ac:dyDescent="0.25">
      <c r="A92" s="50">
        <v>2745</v>
      </c>
      <c r="B92" s="50" t="s">
        <v>38</v>
      </c>
      <c r="C92" s="50" t="s">
        <v>620</v>
      </c>
      <c r="D92" s="50" t="s">
        <v>54</v>
      </c>
      <c r="E92" s="50">
        <v>5</v>
      </c>
      <c r="F92" s="50">
        <v>1</v>
      </c>
      <c r="G92" s="50">
        <v>4</v>
      </c>
    </row>
    <row r="93" spans="1:7" x14ac:dyDescent="0.25">
      <c r="A93" s="50">
        <v>357</v>
      </c>
      <c r="B93" s="50" t="s">
        <v>38</v>
      </c>
      <c r="C93" s="50" t="s">
        <v>158</v>
      </c>
      <c r="D93" s="50" t="s">
        <v>40</v>
      </c>
      <c r="E93" s="50">
        <v>7</v>
      </c>
      <c r="F93" s="50">
        <v>6</v>
      </c>
      <c r="G93" s="50">
        <v>1</v>
      </c>
    </row>
    <row r="94" spans="1:7" x14ac:dyDescent="0.25">
      <c r="A94" s="50">
        <v>2806</v>
      </c>
      <c r="B94" s="50" t="s">
        <v>49</v>
      </c>
      <c r="C94" s="50" t="s">
        <v>639</v>
      </c>
      <c r="D94" s="50" t="s">
        <v>484</v>
      </c>
      <c r="E94" s="50">
        <v>1</v>
      </c>
      <c r="F94" s="50">
        <v>1</v>
      </c>
      <c r="G94" s="50">
        <v>0</v>
      </c>
    </row>
    <row r="95" spans="1:7" x14ac:dyDescent="0.25">
      <c r="A95" s="50">
        <v>1847</v>
      </c>
      <c r="B95" s="50" t="s">
        <v>38</v>
      </c>
      <c r="C95" s="50" t="s">
        <v>284</v>
      </c>
      <c r="D95" s="50" t="s">
        <v>40</v>
      </c>
      <c r="E95" s="50">
        <v>6</v>
      </c>
      <c r="F95" s="50">
        <v>12</v>
      </c>
      <c r="G95" s="50">
        <v>-6</v>
      </c>
    </row>
    <row r="96" spans="1:7" x14ac:dyDescent="0.25">
      <c r="A96" s="50">
        <v>2194</v>
      </c>
      <c r="B96" s="50" t="s">
        <v>44</v>
      </c>
      <c r="C96" s="50" t="s">
        <v>379</v>
      </c>
      <c r="D96" s="50" t="s">
        <v>40</v>
      </c>
      <c r="E96" s="50">
        <v>14</v>
      </c>
      <c r="F96" s="50">
        <v>21</v>
      </c>
      <c r="G96" s="50">
        <v>-7</v>
      </c>
    </row>
    <row r="97" spans="1:7" x14ac:dyDescent="0.25">
      <c r="A97" s="50">
        <v>2725</v>
      </c>
      <c r="B97" s="50" t="s">
        <v>44</v>
      </c>
      <c r="C97" s="50" t="s">
        <v>682</v>
      </c>
      <c r="D97" s="50" t="s">
        <v>46</v>
      </c>
      <c r="E97" s="50">
        <v>1</v>
      </c>
      <c r="F97" s="50">
        <v>1</v>
      </c>
      <c r="G97" s="50">
        <v>0</v>
      </c>
    </row>
    <row r="98" spans="1:7" x14ac:dyDescent="0.25">
      <c r="A98" s="50">
        <v>2760</v>
      </c>
      <c r="B98" s="50" t="s">
        <v>44</v>
      </c>
      <c r="C98" s="50" t="s">
        <v>577</v>
      </c>
      <c r="D98" s="50" t="s">
        <v>59</v>
      </c>
      <c r="E98" s="50">
        <v>3</v>
      </c>
      <c r="F98" s="50">
        <v>3</v>
      </c>
      <c r="G98" s="50">
        <v>0</v>
      </c>
    </row>
    <row r="99" spans="1:7" x14ac:dyDescent="0.25">
      <c r="A99" s="50">
        <v>406</v>
      </c>
      <c r="B99" s="50" t="s">
        <v>49</v>
      </c>
      <c r="C99" s="50" t="s">
        <v>181</v>
      </c>
      <c r="D99" s="50" t="s">
        <v>62</v>
      </c>
      <c r="E99" s="50">
        <v>19</v>
      </c>
      <c r="F99" s="50">
        <v>21</v>
      </c>
      <c r="G99" s="50">
        <v>-2</v>
      </c>
    </row>
    <row r="100" spans="1:7" x14ac:dyDescent="0.25">
      <c r="A100" s="50">
        <v>2867</v>
      </c>
      <c r="B100" s="50" t="s">
        <v>49</v>
      </c>
      <c r="C100" s="50" t="s">
        <v>489</v>
      </c>
      <c r="D100" s="50" t="s">
        <v>490</v>
      </c>
      <c r="E100" s="50">
        <v>8</v>
      </c>
      <c r="F100" s="50">
        <v>12</v>
      </c>
      <c r="G100" s="50">
        <v>-4</v>
      </c>
    </row>
    <row r="101" spans="1:7" x14ac:dyDescent="0.25">
      <c r="A101" s="50">
        <v>2504</v>
      </c>
      <c r="B101" s="50" t="s">
        <v>44</v>
      </c>
      <c r="C101" s="50" t="s">
        <v>648</v>
      </c>
      <c r="D101" s="50" t="s">
        <v>104</v>
      </c>
      <c r="E101" s="50">
        <v>14</v>
      </c>
      <c r="F101" s="50">
        <v>19</v>
      </c>
      <c r="G101" s="50">
        <v>-5</v>
      </c>
    </row>
    <row r="102" spans="1:7" x14ac:dyDescent="0.25">
      <c r="A102" s="50">
        <v>2310</v>
      </c>
      <c r="B102" s="50" t="s">
        <v>38</v>
      </c>
      <c r="C102" s="50" t="s">
        <v>419</v>
      </c>
      <c r="D102" s="50" t="s">
        <v>104</v>
      </c>
      <c r="E102" s="50">
        <v>13</v>
      </c>
      <c r="F102" s="50">
        <v>14</v>
      </c>
      <c r="G102" s="50">
        <v>-1</v>
      </c>
    </row>
    <row r="103" spans="1:7" x14ac:dyDescent="0.25">
      <c r="A103" s="50">
        <v>332</v>
      </c>
      <c r="B103" s="50" t="s">
        <v>44</v>
      </c>
      <c r="C103" s="50" t="s">
        <v>150</v>
      </c>
      <c r="D103" s="50" t="s">
        <v>96</v>
      </c>
      <c r="E103" s="50">
        <v>9</v>
      </c>
      <c r="F103" s="50">
        <v>13</v>
      </c>
      <c r="G103" s="50">
        <v>-4</v>
      </c>
    </row>
    <row r="104" spans="1:7" x14ac:dyDescent="0.25">
      <c r="A104" s="50">
        <v>173</v>
      </c>
      <c r="B104" s="50" t="s">
        <v>44</v>
      </c>
      <c r="C104" s="50" t="s">
        <v>97</v>
      </c>
      <c r="D104" s="50" t="s">
        <v>483</v>
      </c>
      <c r="E104" s="50">
        <v>2</v>
      </c>
      <c r="F104" s="50">
        <v>4</v>
      </c>
      <c r="G104" s="50">
        <v>-2</v>
      </c>
    </row>
    <row r="105" spans="1:7" x14ac:dyDescent="0.25">
      <c r="A105" s="50">
        <v>1958</v>
      </c>
      <c r="B105" s="50" t="s">
        <v>49</v>
      </c>
      <c r="C105" s="50" t="s">
        <v>310</v>
      </c>
      <c r="D105" s="50" t="s">
        <v>98</v>
      </c>
      <c r="E105" s="50">
        <v>12</v>
      </c>
      <c r="F105" s="50">
        <v>10</v>
      </c>
      <c r="G105" s="50">
        <v>2</v>
      </c>
    </row>
    <row r="106" spans="1:7" x14ac:dyDescent="0.25">
      <c r="A106" s="50">
        <v>1865</v>
      </c>
      <c r="B106" s="50" t="s">
        <v>38</v>
      </c>
      <c r="C106" s="50" t="s">
        <v>290</v>
      </c>
      <c r="D106" s="50" t="s">
        <v>490</v>
      </c>
      <c r="E106" s="50">
        <v>4</v>
      </c>
      <c r="F106" s="50">
        <v>5</v>
      </c>
      <c r="G106" s="50">
        <v>-1</v>
      </c>
    </row>
    <row r="107" spans="1:7" x14ac:dyDescent="0.25">
      <c r="A107" s="50">
        <v>2819</v>
      </c>
      <c r="B107" s="50" t="s">
        <v>49</v>
      </c>
      <c r="C107" s="50" t="s">
        <v>482</v>
      </c>
      <c r="D107" s="50" t="s">
        <v>483</v>
      </c>
      <c r="E107" s="50">
        <v>18</v>
      </c>
      <c r="F107" s="50">
        <v>14</v>
      </c>
      <c r="G107" s="50">
        <v>4</v>
      </c>
    </row>
    <row r="108" spans="1:7" x14ac:dyDescent="0.25">
      <c r="A108" s="50">
        <v>2213</v>
      </c>
      <c r="B108" s="50" t="s">
        <v>44</v>
      </c>
      <c r="C108" s="50" t="s">
        <v>392</v>
      </c>
      <c r="D108" s="50" t="s">
        <v>490</v>
      </c>
      <c r="E108" s="50">
        <v>5</v>
      </c>
      <c r="F108" s="50">
        <v>2</v>
      </c>
      <c r="G108" s="50">
        <v>3</v>
      </c>
    </row>
    <row r="109" spans="1:7" x14ac:dyDescent="0.25">
      <c r="A109" s="50">
        <v>2197</v>
      </c>
      <c r="B109" s="50" t="s">
        <v>38</v>
      </c>
      <c r="C109" s="50" t="s">
        <v>382</v>
      </c>
      <c r="D109" s="50" t="s">
        <v>43</v>
      </c>
      <c r="E109" s="50">
        <v>7</v>
      </c>
      <c r="F109" s="50">
        <v>6</v>
      </c>
      <c r="G109" s="50">
        <v>1</v>
      </c>
    </row>
    <row r="110" spans="1:7" x14ac:dyDescent="0.25">
      <c r="A110" s="50">
        <v>2692</v>
      </c>
      <c r="B110" s="50" t="s">
        <v>49</v>
      </c>
      <c r="C110" s="50" t="s">
        <v>475</v>
      </c>
      <c r="D110" s="50" t="s">
        <v>40</v>
      </c>
      <c r="E110" s="50">
        <v>13</v>
      </c>
      <c r="F110" s="50">
        <v>16</v>
      </c>
      <c r="G110" s="50">
        <v>-3</v>
      </c>
    </row>
    <row r="111" spans="1:7" x14ac:dyDescent="0.25">
      <c r="A111" s="50">
        <v>112</v>
      </c>
      <c r="B111" s="50" t="s">
        <v>44</v>
      </c>
      <c r="C111" s="50" t="s">
        <v>75</v>
      </c>
      <c r="D111" s="50" t="s">
        <v>46</v>
      </c>
      <c r="E111" s="50">
        <v>10</v>
      </c>
      <c r="F111" s="50">
        <v>12</v>
      </c>
      <c r="G111" s="50">
        <v>-2</v>
      </c>
    </row>
    <row r="112" spans="1:7" x14ac:dyDescent="0.25">
      <c r="A112" s="50">
        <v>333</v>
      </c>
      <c r="B112" s="50" t="s">
        <v>44</v>
      </c>
      <c r="C112" s="50" t="s">
        <v>151</v>
      </c>
      <c r="D112" s="50" t="s">
        <v>133</v>
      </c>
      <c r="E112" s="50">
        <v>4</v>
      </c>
      <c r="F112" s="50">
        <v>4</v>
      </c>
      <c r="G112" s="50">
        <v>0</v>
      </c>
    </row>
    <row r="113" spans="1:7" x14ac:dyDescent="0.25">
      <c r="A113" s="50">
        <v>1891</v>
      </c>
      <c r="B113" s="50" t="s">
        <v>38</v>
      </c>
      <c r="C113" s="50" t="s">
        <v>301</v>
      </c>
      <c r="D113" s="50" t="s">
        <v>37</v>
      </c>
      <c r="E113" s="50">
        <v>5</v>
      </c>
      <c r="F113" s="50">
        <v>6</v>
      </c>
      <c r="G113" s="50">
        <v>-1</v>
      </c>
    </row>
    <row r="114" spans="1:7" x14ac:dyDescent="0.25">
      <c r="A114" s="50">
        <v>2535</v>
      </c>
      <c r="B114" s="50" t="s">
        <v>38</v>
      </c>
      <c r="C114" s="50" t="s">
        <v>649</v>
      </c>
      <c r="D114" s="50" t="s">
        <v>96</v>
      </c>
      <c r="E114" s="50">
        <v>5</v>
      </c>
      <c r="F114" s="50">
        <v>5</v>
      </c>
      <c r="G114" s="50">
        <v>0</v>
      </c>
    </row>
    <row r="115" spans="1:7" x14ac:dyDescent="0.25">
      <c r="A115" s="50">
        <v>1866</v>
      </c>
      <c r="B115" s="50" t="s">
        <v>38</v>
      </c>
      <c r="C115" s="50" t="s">
        <v>291</v>
      </c>
      <c r="D115" s="50" t="s">
        <v>46</v>
      </c>
      <c r="E115" s="50">
        <v>5</v>
      </c>
      <c r="F115" s="50">
        <v>8</v>
      </c>
      <c r="G115" s="50">
        <v>-3</v>
      </c>
    </row>
    <row r="116" spans="1:7" x14ac:dyDescent="0.25">
      <c r="A116" s="50">
        <v>2246</v>
      </c>
      <c r="B116" s="50" t="s">
        <v>49</v>
      </c>
      <c r="C116" s="50" t="s">
        <v>445</v>
      </c>
      <c r="D116" s="50" t="s">
        <v>484</v>
      </c>
      <c r="E116" s="50">
        <v>7</v>
      </c>
      <c r="F116" s="50">
        <v>10</v>
      </c>
      <c r="G116" s="50">
        <v>-3</v>
      </c>
    </row>
    <row r="117" spans="1:7" x14ac:dyDescent="0.25">
      <c r="A117" s="50">
        <v>306</v>
      </c>
      <c r="B117" s="50" t="s">
        <v>49</v>
      </c>
      <c r="C117" s="50" t="s">
        <v>526</v>
      </c>
      <c r="D117" s="50" t="s">
        <v>46</v>
      </c>
      <c r="E117" s="50">
        <v>4</v>
      </c>
      <c r="F117" s="50">
        <v>7</v>
      </c>
      <c r="G117" s="50">
        <v>-3</v>
      </c>
    </row>
    <row r="118" spans="1:7" x14ac:dyDescent="0.25">
      <c r="A118" s="50">
        <v>100</v>
      </c>
      <c r="B118" s="50" t="s">
        <v>38</v>
      </c>
      <c r="C118" s="50" t="s">
        <v>71</v>
      </c>
      <c r="D118" s="50" t="s">
        <v>69</v>
      </c>
      <c r="E118" s="50">
        <v>1</v>
      </c>
      <c r="F118" s="50">
        <v>1</v>
      </c>
      <c r="G118" s="50">
        <v>0</v>
      </c>
    </row>
    <row r="119" spans="1:7" x14ac:dyDescent="0.25">
      <c r="A119" s="50">
        <v>202</v>
      </c>
      <c r="B119" s="50" t="s">
        <v>44</v>
      </c>
      <c r="C119" s="50" t="s">
        <v>446</v>
      </c>
      <c r="D119" s="50" t="s">
        <v>490</v>
      </c>
      <c r="E119" s="50">
        <v>8</v>
      </c>
      <c r="F119" s="50">
        <v>3</v>
      </c>
      <c r="G119" s="50">
        <v>5</v>
      </c>
    </row>
    <row r="120" spans="1:7" x14ac:dyDescent="0.25">
      <c r="A120" s="50">
        <v>288</v>
      </c>
      <c r="B120" s="50" t="s">
        <v>38</v>
      </c>
      <c r="C120" s="50" t="s">
        <v>134</v>
      </c>
      <c r="D120" s="50" t="s">
        <v>104</v>
      </c>
      <c r="E120" s="50">
        <v>13</v>
      </c>
      <c r="F120" s="50">
        <v>12</v>
      </c>
      <c r="G120" s="50">
        <v>1</v>
      </c>
    </row>
    <row r="121" spans="1:7" x14ac:dyDescent="0.25">
      <c r="A121" s="50">
        <v>2002</v>
      </c>
      <c r="B121" s="50" t="s">
        <v>44</v>
      </c>
      <c r="C121" s="50" t="s">
        <v>323</v>
      </c>
      <c r="D121" s="50" t="s">
        <v>37</v>
      </c>
      <c r="E121" s="50">
        <v>24</v>
      </c>
      <c r="F121" s="50">
        <v>23</v>
      </c>
      <c r="G121" s="50">
        <v>1</v>
      </c>
    </row>
    <row r="122" spans="1:7" x14ac:dyDescent="0.25">
      <c r="A122" s="50">
        <v>640</v>
      </c>
      <c r="B122" s="50" t="s">
        <v>38</v>
      </c>
      <c r="C122" s="50" t="s">
        <v>248</v>
      </c>
      <c r="D122" s="50" t="s">
        <v>62</v>
      </c>
      <c r="E122" s="50">
        <v>1</v>
      </c>
      <c r="F122" s="50">
        <v>3</v>
      </c>
      <c r="G122" s="50">
        <v>-2</v>
      </c>
    </row>
    <row r="123" spans="1:7" x14ac:dyDescent="0.25">
      <c r="A123" s="50">
        <v>2812</v>
      </c>
      <c r="B123" s="50" t="s">
        <v>49</v>
      </c>
      <c r="C123" s="50" t="s">
        <v>504</v>
      </c>
      <c r="D123" s="50" t="s">
        <v>490</v>
      </c>
      <c r="E123" s="50">
        <v>13</v>
      </c>
      <c r="F123" s="50">
        <v>10</v>
      </c>
      <c r="G123" s="50">
        <v>3</v>
      </c>
    </row>
    <row r="124" spans="1:7" x14ac:dyDescent="0.25">
      <c r="A124" s="50">
        <v>2243</v>
      </c>
      <c r="B124" s="50" t="s">
        <v>44</v>
      </c>
      <c r="C124" s="50" t="s">
        <v>447</v>
      </c>
      <c r="D124" s="50" t="s">
        <v>484</v>
      </c>
      <c r="E124" s="50">
        <v>7</v>
      </c>
      <c r="F124" s="50">
        <v>12</v>
      </c>
      <c r="G124" s="50">
        <v>-5</v>
      </c>
    </row>
    <row r="125" spans="1:7" x14ac:dyDescent="0.25">
      <c r="A125" s="50">
        <v>20</v>
      </c>
      <c r="B125" s="50" t="s">
        <v>44</v>
      </c>
      <c r="C125" s="50" t="s">
        <v>45</v>
      </c>
      <c r="D125" s="50" t="s">
        <v>46</v>
      </c>
      <c r="E125" s="50">
        <v>5</v>
      </c>
      <c r="F125" s="50">
        <v>7</v>
      </c>
      <c r="G125" s="50">
        <v>-2</v>
      </c>
    </row>
    <row r="126" spans="1:7" x14ac:dyDescent="0.25">
      <c r="A126" s="50">
        <v>212</v>
      </c>
      <c r="B126" s="50" t="s">
        <v>49</v>
      </c>
      <c r="C126" s="50" t="s">
        <v>533</v>
      </c>
      <c r="D126" s="50" t="s">
        <v>490</v>
      </c>
      <c r="E126" s="50">
        <v>6</v>
      </c>
      <c r="F126" s="50">
        <v>6</v>
      </c>
      <c r="G126" s="50">
        <v>0</v>
      </c>
    </row>
    <row r="127" spans="1:7" x14ac:dyDescent="0.25">
      <c r="A127" s="50">
        <v>194</v>
      </c>
      <c r="B127" s="50" t="s">
        <v>38</v>
      </c>
      <c r="C127" s="50" t="s">
        <v>683</v>
      </c>
      <c r="D127" s="50" t="s">
        <v>490</v>
      </c>
      <c r="E127" s="50">
        <v>4</v>
      </c>
      <c r="F127" s="50">
        <v>4</v>
      </c>
      <c r="G127" s="50">
        <v>0</v>
      </c>
    </row>
    <row r="128" spans="1:7" x14ac:dyDescent="0.25">
      <c r="A128" s="50">
        <v>780</v>
      </c>
      <c r="B128" s="50" t="s">
        <v>38</v>
      </c>
      <c r="C128" s="50" t="s">
        <v>270</v>
      </c>
      <c r="D128" s="50" t="s">
        <v>41</v>
      </c>
      <c r="E128" s="50">
        <v>7</v>
      </c>
      <c r="F128" s="50">
        <v>9</v>
      </c>
      <c r="G128" s="50">
        <v>-2</v>
      </c>
    </row>
    <row r="129" spans="1:7" x14ac:dyDescent="0.25">
      <c r="A129" s="50">
        <v>2844</v>
      </c>
      <c r="B129" s="50" t="s">
        <v>49</v>
      </c>
      <c r="C129" s="50" t="s">
        <v>641</v>
      </c>
      <c r="D129" s="50" t="s">
        <v>96</v>
      </c>
      <c r="E129" s="50">
        <v>1</v>
      </c>
      <c r="F129" s="50">
        <v>1</v>
      </c>
      <c r="G129" s="50">
        <v>0</v>
      </c>
    </row>
    <row r="130" spans="1:7" x14ac:dyDescent="0.25">
      <c r="A130" s="50">
        <v>2784</v>
      </c>
      <c r="B130" s="50" t="s">
        <v>38</v>
      </c>
      <c r="C130" s="50" t="s">
        <v>519</v>
      </c>
      <c r="D130" s="50" t="s">
        <v>98</v>
      </c>
      <c r="E130" s="50">
        <v>7</v>
      </c>
      <c r="F130" s="50">
        <v>7</v>
      </c>
      <c r="G130" s="50">
        <v>0</v>
      </c>
    </row>
    <row r="131" spans="1:7" x14ac:dyDescent="0.25">
      <c r="A131" s="50">
        <v>2828</v>
      </c>
      <c r="B131" s="50" t="s">
        <v>44</v>
      </c>
      <c r="C131" s="50" t="s">
        <v>684</v>
      </c>
      <c r="D131" s="50" t="s">
        <v>46</v>
      </c>
      <c r="E131" s="50">
        <v>2</v>
      </c>
      <c r="F131" s="50">
        <v>2</v>
      </c>
      <c r="G131" s="50">
        <v>0</v>
      </c>
    </row>
    <row r="132" spans="1:7" x14ac:dyDescent="0.25">
      <c r="A132" s="50">
        <v>509</v>
      </c>
      <c r="B132" s="50" t="s">
        <v>35</v>
      </c>
      <c r="C132" s="50" t="s">
        <v>208</v>
      </c>
      <c r="D132" s="50" t="s">
        <v>102</v>
      </c>
      <c r="E132" s="50">
        <v>10</v>
      </c>
      <c r="F132" s="50">
        <v>9</v>
      </c>
      <c r="G132" s="50">
        <v>1</v>
      </c>
    </row>
    <row r="133" spans="1:7" x14ac:dyDescent="0.25">
      <c r="A133" s="50">
        <v>11</v>
      </c>
      <c r="B133" s="50" t="s">
        <v>38</v>
      </c>
      <c r="C133" s="50" t="s">
        <v>39</v>
      </c>
      <c r="D133" s="50" t="s">
        <v>40</v>
      </c>
      <c r="E133" s="50">
        <v>5</v>
      </c>
      <c r="F133" s="50">
        <v>7</v>
      </c>
      <c r="G133" s="50">
        <v>-2</v>
      </c>
    </row>
    <row r="134" spans="1:7" x14ac:dyDescent="0.25">
      <c r="A134" s="50">
        <v>2845</v>
      </c>
      <c r="B134" s="50" t="s">
        <v>35</v>
      </c>
      <c r="C134" s="50" t="s">
        <v>609</v>
      </c>
      <c r="D134" s="50" t="s">
        <v>62</v>
      </c>
      <c r="E134" s="50">
        <v>1</v>
      </c>
      <c r="F134" s="50">
        <v>1</v>
      </c>
      <c r="G134" s="50">
        <v>0</v>
      </c>
    </row>
    <row r="135" spans="1:7" x14ac:dyDescent="0.25">
      <c r="A135" s="50">
        <v>2780</v>
      </c>
      <c r="B135" s="50" t="s">
        <v>44</v>
      </c>
      <c r="C135" s="50" t="s">
        <v>580</v>
      </c>
      <c r="D135" s="50" t="s">
        <v>84</v>
      </c>
      <c r="E135" s="50">
        <v>1</v>
      </c>
      <c r="F135" s="50">
        <v>3</v>
      </c>
      <c r="G135" s="50">
        <v>-2</v>
      </c>
    </row>
    <row r="136" spans="1:7" x14ac:dyDescent="0.25">
      <c r="A136" s="50">
        <v>2163</v>
      </c>
      <c r="B136" s="50" t="s">
        <v>49</v>
      </c>
      <c r="C136" s="50" t="s">
        <v>357</v>
      </c>
      <c r="D136" s="50" t="s">
        <v>43</v>
      </c>
      <c r="E136" s="50">
        <v>5</v>
      </c>
      <c r="F136" s="50">
        <v>5</v>
      </c>
      <c r="G136" s="50">
        <v>0</v>
      </c>
    </row>
    <row r="137" spans="1:7" x14ac:dyDescent="0.25">
      <c r="A137" s="50">
        <v>495</v>
      </c>
      <c r="B137" s="50" t="s">
        <v>44</v>
      </c>
      <c r="C137" s="50" t="s">
        <v>487</v>
      </c>
      <c r="D137" s="50" t="s">
        <v>133</v>
      </c>
      <c r="E137" s="50">
        <v>15</v>
      </c>
      <c r="F137" s="50">
        <v>12</v>
      </c>
      <c r="G137" s="50">
        <v>3</v>
      </c>
    </row>
    <row r="138" spans="1:7" x14ac:dyDescent="0.25">
      <c r="A138" s="50">
        <v>817</v>
      </c>
      <c r="B138" s="50" t="s">
        <v>38</v>
      </c>
      <c r="C138" s="50" t="s">
        <v>280</v>
      </c>
      <c r="D138" s="50" t="s">
        <v>41</v>
      </c>
      <c r="E138" s="50">
        <v>3</v>
      </c>
      <c r="F138" s="50">
        <v>4</v>
      </c>
      <c r="G138" s="50">
        <v>-1</v>
      </c>
    </row>
    <row r="139" spans="1:7" x14ac:dyDescent="0.25">
      <c r="A139" s="50">
        <v>2144</v>
      </c>
      <c r="B139" s="50" t="s">
        <v>44</v>
      </c>
      <c r="C139" s="50" t="s">
        <v>632</v>
      </c>
      <c r="D139" s="50" t="s">
        <v>67</v>
      </c>
      <c r="E139" s="50">
        <v>1</v>
      </c>
      <c r="F139" s="50">
        <v>1</v>
      </c>
      <c r="G139" s="50">
        <v>0</v>
      </c>
    </row>
    <row r="140" spans="1:7" x14ac:dyDescent="0.25">
      <c r="A140" s="50">
        <v>2178</v>
      </c>
      <c r="B140" s="50" t="s">
        <v>35</v>
      </c>
      <c r="C140" s="50" t="s">
        <v>369</v>
      </c>
      <c r="D140" s="50" t="s">
        <v>46</v>
      </c>
      <c r="E140" s="50">
        <v>11</v>
      </c>
      <c r="F140" s="50">
        <v>8</v>
      </c>
      <c r="G140" s="50">
        <v>3</v>
      </c>
    </row>
    <row r="141" spans="1:7" x14ac:dyDescent="0.25">
      <c r="A141" s="50">
        <v>2759</v>
      </c>
      <c r="B141" s="50" t="s">
        <v>38</v>
      </c>
      <c r="C141" s="50" t="s">
        <v>507</v>
      </c>
      <c r="D141" s="50" t="s">
        <v>59</v>
      </c>
      <c r="E141" s="50">
        <v>9</v>
      </c>
      <c r="F141" s="50">
        <v>9</v>
      </c>
      <c r="G141" s="50">
        <v>0</v>
      </c>
    </row>
    <row r="142" spans="1:7" x14ac:dyDescent="0.25">
      <c r="A142" s="50">
        <v>57</v>
      </c>
      <c r="B142" s="50" t="s">
        <v>44</v>
      </c>
      <c r="C142" s="50" t="s">
        <v>60</v>
      </c>
      <c r="D142" s="50" t="s">
        <v>490</v>
      </c>
      <c r="E142" s="50">
        <v>2</v>
      </c>
      <c r="F142" s="50">
        <v>5</v>
      </c>
      <c r="G142" s="50">
        <v>-3</v>
      </c>
    </row>
    <row r="143" spans="1:7" x14ac:dyDescent="0.25">
      <c r="A143" s="50">
        <v>779</v>
      </c>
      <c r="B143" s="50" t="s">
        <v>44</v>
      </c>
      <c r="C143" s="50" t="s">
        <v>269</v>
      </c>
      <c r="D143" s="50" t="s">
        <v>84</v>
      </c>
      <c r="E143" s="50">
        <v>18</v>
      </c>
      <c r="F143" s="50">
        <v>18</v>
      </c>
      <c r="G143" s="50">
        <v>0</v>
      </c>
    </row>
    <row r="144" spans="1:7" x14ac:dyDescent="0.25">
      <c r="A144" s="50">
        <v>2610</v>
      </c>
      <c r="B144" s="50" t="s">
        <v>49</v>
      </c>
      <c r="C144" s="50" t="s">
        <v>469</v>
      </c>
      <c r="D144" s="50" t="s">
        <v>104</v>
      </c>
      <c r="E144" s="50">
        <v>44</v>
      </c>
      <c r="F144" s="50">
        <v>49</v>
      </c>
      <c r="G144" s="50">
        <v>-5</v>
      </c>
    </row>
    <row r="145" spans="1:7" x14ac:dyDescent="0.25">
      <c r="A145" s="50">
        <v>2075</v>
      </c>
      <c r="B145" s="50" t="s">
        <v>44</v>
      </c>
      <c r="C145" s="50" t="s">
        <v>340</v>
      </c>
      <c r="D145" s="50" t="s">
        <v>37</v>
      </c>
      <c r="E145" s="50">
        <v>2</v>
      </c>
      <c r="F145" s="50">
        <v>2</v>
      </c>
      <c r="G145" s="50">
        <v>0</v>
      </c>
    </row>
    <row r="146" spans="1:7" x14ac:dyDescent="0.25">
      <c r="A146" s="50">
        <v>697</v>
      </c>
      <c r="B146" s="50" t="s">
        <v>44</v>
      </c>
      <c r="C146" s="50" t="s">
        <v>258</v>
      </c>
      <c r="D146" s="50" t="s">
        <v>104</v>
      </c>
      <c r="E146" s="50">
        <v>14</v>
      </c>
      <c r="F146" s="50">
        <v>18</v>
      </c>
      <c r="G146" s="50">
        <v>-4</v>
      </c>
    </row>
    <row r="147" spans="1:7" x14ac:dyDescent="0.25">
      <c r="A147" s="50">
        <v>2155</v>
      </c>
      <c r="B147" s="50" t="s">
        <v>49</v>
      </c>
      <c r="C147" s="50" t="s">
        <v>355</v>
      </c>
      <c r="D147" s="50" t="s">
        <v>40</v>
      </c>
      <c r="E147" s="50">
        <v>15</v>
      </c>
      <c r="F147" s="50">
        <v>17</v>
      </c>
      <c r="G147" s="50">
        <v>-2</v>
      </c>
    </row>
    <row r="148" spans="1:7" x14ac:dyDescent="0.25">
      <c r="A148" s="50">
        <v>40</v>
      </c>
      <c r="B148" s="50" t="s">
        <v>35</v>
      </c>
      <c r="C148" s="50" t="s">
        <v>53</v>
      </c>
      <c r="D148" s="50" t="s">
        <v>54</v>
      </c>
      <c r="E148" s="50">
        <v>1</v>
      </c>
      <c r="F148" s="50">
        <v>1</v>
      </c>
      <c r="G148" s="50">
        <v>0</v>
      </c>
    </row>
    <row r="149" spans="1:7" x14ac:dyDescent="0.25">
      <c r="A149" s="50">
        <v>2807</v>
      </c>
      <c r="B149" s="50" t="s">
        <v>49</v>
      </c>
      <c r="C149" s="50" t="s">
        <v>552</v>
      </c>
      <c r="D149" s="50" t="s">
        <v>484</v>
      </c>
      <c r="E149" s="50">
        <v>2</v>
      </c>
      <c r="F149" s="50">
        <v>5</v>
      </c>
      <c r="G149" s="50">
        <v>-3</v>
      </c>
    </row>
    <row r="150" spans="1:7" x14ac:dyDescent="0.25">
      <c r="A150" s="50">
        <v>2659</v>
      </c>
      <c r="B150" s="50" t="s">
        <v>44</v>
      </c>
      <c r="C150" s="50" t="s">
        <v>439</v>
      </c>
      <c r="D150" s="50" t="s">
        <v>37</v>
      </c>
      <c r="E150" s="50">
        <v>6</v>
      </c>
      <c r="F150" s="50">
        <v>7</v>
      </c>
      <c r="G150" s="50">
        <v>-1</v>
      </c>
    </row>
    <row r="151" spans="1:7" x14ac:dyDescent="0.25">
      <c r="A151" s="50">
        <v>2289</v>
      </c>
      <c r="B151" s="50" t="s">
        <v>38</v>
      </c>
      <c r="C151" s="50" t="s">
        <v>410</v>
      </c>
      <c r="D151" s="50" t="s">
        <v>96</v>
      </c>
      <c r="E151" s="50">
        <v>2</v>
      </c>
      <c r="F151" s="50">
        <v>3</v>
      </c>
      <c r="G151" s="50">
        <v>-1</v>
      </c>
    </row>
    <row r="152" spans="1:7" x14ac:dyDescent="0.25">
      <c r="A152" s="50">
        <v>21</v>
      </c>
      <c r="B152" s="50" t="s">
        <v>44</v>
      </c>
      <c r="C152" s="50" t="s">
        <v>47</v>
      </c>
      <c r="D152" s="50" t="s">
        <v>67</v>
      </c>
      <c r="E152" s="50">
        <v>5</v>
      </c>
      <c r="F152" s="50">
        <v>3</v>
      </c>
      <c r="G152" s="50">
        <v>2</v>
      </c>
    </row>
    <row r="153" spans="1:7" x14ac:dyDescent="0.25">
      <c r="A153" s="50">
        <v>2878</v>
      </c>
      <c r="B153" s="50" t="s">
        <v>49</v>
      </c>
      <c r="C153" s="50" t="s">
        <v>650</v>
      </c>
      <c r="D153" s="50" t="s">
        <v>59</v>
      </c>
      <c r="E153" s="50">
        <v>1</v>
      </c>
      <c r="F153" s="50">
        <v>1</v>
      </c>
      <c r="G153" s="50">
        <v>0</v>
      </c>
    </row>
    <row r="154" spans="1:7" x14ac:dyDescent="0.25">
      <c r="A154" s="50">
        <v>2849</v>
      </c>
      <c r="B154" s="50" t="s">
        <v>49</v>
      </c>
      <c r="C154" s="50" t="s">
        <v>637</v>
      </c>
      <c r="D154" s="50" t="s">
        <v>108</v>
      </c>
      <c r="E154" s="50">
        <v>1</v>
      </c>
      <c r="F154" s="50">
        <v>1</v>
      </c>
      <c r="G154" s="50">
        <v>0</v>
      </c>
    </row>
    <row r="155" spans="1:7" x14ac:dyDescent="0.25">
      <c r="A155" s="50">
        <v>253</v>
      </c>
      <c r="B155" s="50" t="s">
        <v>38</v>
      </c>
      <c r="C155" s="50" t="s">
        <v>121</v>
      </c>
      <c r="D155" s="50" t="s">
        <v>96</v>
      </c>
      <c r="E155" s="50">
        <v>8</v>
      </c>
      <c r="F155" s="50">
        <v>8</v>
      </c>
      <c r="G155" s="50">
        <v>0</v>
      </c>
    </row>
    <row r="156" spans="1:7" x14ac:dyDescent="0.25">
      <c r="A156" s="50">
        <v>578</v>
      </c>
      <c r="B156" s="50" t="s">
        <v>38</v>
      </c>
      <c r="C156" s="50" t="s">
        <v>233</v>
      </c>
      <c r="D156" s="50" t="s">
        <v>54</v>
      </c>
      <c r="E156" s="50">
        <v>9</v>
      </c>
      <c r="F156" s="50">
        <v>8</v>
      </c>
      <c r="G156" s="50">
        <v>1</v>
      </c>
    </row>
    <row r="157" spans="1:7" x14ac:dyDescent="0.25">
      <c r="A157" s="50">
        <v>224</v>
      </c>
      <c r="B157" s="50" t="s">
        <v>38</v>
      </c>
      <c r="C157" s="50" t="s">
        <v>109</v>
      </c>
      <c r="D157" s="50" t="s">
        <v>67</v>
      </c>
      <c r="E157" s="50">
        <v>4</v>
      </c>
      <c r="F157" s="50">
        <v>7</v>
      </c>
      <c r="G157" s="50">
        <v>-3</v>
      </c>
    </row>
    <row r="158" spans="1:7" x14ac:dyDescent="0.25">
      <c r="A158" s="50">
        <v>1996</v>
      </c>
      <c r="B158" s="50" t="s">
        <v>44</v>
      </c>
      <c r="C158" s="50" t="s">
        <v>321</v>
      </c>
      <c r="D158" s="50" t="s">
        <v>67</v>
      </c>
      <c r="E158" s="50">
        <v>20</v>
      </c>
      <c r="F158" s="50">
        <v>15</v>
      </c>
      <c r="G158" s="50">
        <v>5</v>
      </c>
    </row>
    <row r="159" spans="1:7" x14ac:dyDescent="0.25">
      <c r="A159" s="50">
        <v>22</v>
      </c>
      <c r="B159" s="50" t="s">
        <v>44</v>
      </c>
      <c r="C159" s="50" t="s">
        <v>48</v>
      </c>
      <c r="D159" s="50" t="s">
        <v>43</v>
      </c>
      <c r="E159" s="50">
        <v>10</v>
      </c>
      <c r="F159" s="50">
        <v>8</v>
      </c>
      <c r="G159" s="50">
        <v>2</v>
      </c>
    </row>
    <row r="160" spans="1:7" x14ac:dyDescent="0.25">
      <c r="A160" s="50">
        <v>463</v>
      </c>
      <c r="B160" s="50" t="s">
        <v>44</v>
      </c>
      <c r="C160" s="50" t="s">
        <v>194</v>
      </c>
      <c r="D160" s="50" t="s">
        <v>84</v>
      </c>
      <c r="E160" s="50">
        <v>6</v>
      </c>
      <c r="F160" s="50">
        <v>8</v>
      </c>
      <c r="G160" s="50">
        <v>-2</v>
      </c>
    </row>
    <row r="161" spans="1:7" x14ac:dyDescent="0.25">
      <c r="A161" s="50">
        <v>358</v>
      </c>
      <c r="B161" s="50" t="s">
        <v>38</v>
      </c>
      <c r="C161" s="50" t="s">
        <v>159</v>
      </c>
      <c r="D161" s="50" t="s">
        <v>104</v>
      </c>
      <c r="E161" s="50">
        <v>8</v>
      </c>
      <c r="F161" s="50">
        <v>7</v>
      </c>
      <c r="G161" s="50">
        <v>1</v>
      </c>
    </row>
    <row r="162" spans="1:7" x14ac:dyDescent="0.25">
      <c r="A162" s="50">
        <v>487</v>
      </c>
      <c r="B162" s="50" t="s">
        <v>38</v>
      </c>
      <c r="C162" s="50" t="s">
        <v>203</v>
      </c>
      <c r="D162" s="50" t="s">
        <v>108</v>
      </c>
      <c r="E162" s="50">
        <v>11</v>
      </c>
      <c r="F162" s="50">
        <v>14</v>
      </c>
      <c r="G162" s="50">
        <v>-3</v>
      </c>
    </row>
    <row r="163" spans="1:7" x14ac:dyDescent="0.25">
      <c r="A163" s="50">
        <v>322</v>
      </c>
      <c r="B163" s="50" t="s">
        <v>38</v>
      </c>
      <c r="C163" s="50" t="s">
        <v>146</v>
      </c>
      <c r="D163" s="50" t="s">
        <v>96</v>
      </c>
      <c r="E163" s="50">
        <v>15</v>
      </c>
      <c r="F163" s="50">
        <v>17</v>
      </c>
      <c r="G163" s="50">
        <v>-2</v>
      </c>
    </row>
    <row r="164" spans="1:7" x14ac:dyDescent="0.25">
      <c r="A164" s="50">
        <v>643</v>
      </c>
      <c r="B164" s="50" t="s">
        <v>49</v>
      </c>
      <c r="C164" s="50" t="s">
        <v>249</v>
      </c>
      <c r="D164" s="50" t="s">
        <v>98</v>
      </c>
      <c r="E164" s="50">
        <v>20</v>
      </c>
      <c r="F164" s="50">
        <v>20</v>
      </c>
      <c r="G164" s="50">
        <v>0</v>
      </c>
    </row>
    <row r="165" spans="1:7" x14ac:dyDescent="0.25">
      <c r="A165" s="50">
        <v>1871</v>
      </c>
      <c r="B165" s="50" t="s">
        <v>44</v>
      </c>
      <c r="C165" s="50" t="s">
        <v>295</v>
      </c>
      <c r="D165" s="50" t="s">
        <v>46</v>
      </c>
      <c r="E165" s="50">
        <v>4</v>
      </c>
      <c r="F165" s="50">
        <v>3</v>
      </c>
      <c r="G165" s="50">
        <v>1</v>
      </c>
    </row>
    <row r="166" spans="1:7" x14ac:dyDescent="0.25">
      <c r="A166" s="50">
        <v>517</v>
      </c>
      <c r="B166" s="50" t="s">
        <v>38</v>
      </c>
      <c r="C166" s="50" t="s">
        <v>211</v>
      </c>
      <c r="D166" s="50" t="s">
        <v>483</v>
      </c>
      <c r="E166" s="50">
        <v>2</v>
      </c>
      <c r="F166" s="50">
        <v>4</v>
      </c>
      <c r="G166" s="50">
        <v>-2</v>
      </c>
    </row>
    <row r="167" spans="1:7" x14ac:dyDescent="0.25">
      <c r="A167" s="50">
        <v>4332</v>
      </c>
      <c r="B167" s="50" t="s">
        <v>38</v>
      </c>
      <c r="C167" s="50" t="s">
        <v>651</v>
      </c>
      <c r="D167" s="50" t="s">
        <v>102</v>
      </c>
      <c r="E167" s="50">
        <v>3</v>
      </c>
      <c r="F167" s="50">
        <v>3</v>
      </c>
      <c r="G167" s="50">
        <v>0</v>
      </c>
    </row>
    <row r="168" spans="1:7" x14ac:dyDescent="0.25">
      <c r="A168" s="50">
        <v>2141</v>
      </c>
      <c r="B168" s="50" t="s">
        <v>44</v>
      </c>
      <c r="C168" s="50" t="s">
        <v>353</v>
      </c>
      <c r="D168" s="50" t="s">
        <v>69</v>
      </c>
      <c r="E168" s="50">
        <v>7</v>
      </c>
      <c r="F168" s="50">
        <v>4</v>
      </c>
      <c r="G168" s="50">
        <v>3</v>
      </c>
    </row>
    <row r="169" spans="1:7" x14ac:dyDescent="0.25">
      <c r="A169" s="50">
        <v>4333</v>
      </c>
      <c r="B169" s="50" t="s">
        <v>49</v>
      </c>
      <c r="C169" s="50" t="s">
        <v>652</v>
      </c>
      <c r="D169" s="50" t="s">
        <v>46</v>
      </c>
      <c r="E169" s="50">
        <v>3</v>
      </c>
      <c r="F169" s="50">
        <v>3</v>
      </c>
      <c r="G169" s="50">
        <v>0</v>
      </c>
    </row>
    <row r="170" spans="1:7" x14ac:dyDescent="0.25">
      <c r="A170" s="50">
        <v>1872</v>
      </c>
      <c r="B170" s="50" t="s">
        <v>44</v>
      </c>
      <c r="C170" s="50" t="s">
        <v>296</v>
      </c>
      <c r="D170" s="50" t="s">
        <v>46</v>
      </c>
      <c r="E170" s="50">
        <v>2</v>
      </c>
      <c r="F170" s="50">
        <v>3</v>
      </c>
      <c r="G170" s="50">
        <v>-1</v>
      </c>
    </row>
    <row r="171" spans="1:7" x14ac:dyDescent="0.25">
      <c r="A171" s="50">
        <v>472</v>
      </c>
      <c r="B171" s="50" t="s">
        <v>49</v>
      </c>
      <c r="C171" s="50" t="s">
        <v>199</v>
      </c>
      <c r="D171" s="50" t="s">
        <v>54</v>
      </c>
      <c r="E171" s="50">
        <v>6</v>
      </c>
      <c r="F171" s="50">
        <v>13</v>
      </c>
      <c r="G171" s="50">
        <v>-7</v>
      </c>
    </row>
    <row r="172" spans="1:7" x14ac:dyDescent="0.25">
      <c r="A172" s="50">
        <v>400</v>
      </c>
      <c r="B172" s="50" t="s">
        <v>44</v>
      </c>
      <c r="C172" s="50" t="s">
        <v>546</v>
      </c>
      <c r="D172" s="50" t="s">
        <v>484</v>
      </c>
      <c r="E172" s="50">
        <v>1</v>
      </c>
      <c r="F172" s="50">
        <v>5</v>
      </c>
      <c r="G172" s="50">
        <v>-4</v>
      </c>
    </row>
    <row r="173" spans="1:7" x14ac:dyDescent="0.25">
      <c r="A173" s="50">
        <v>2800</v>
      </c>
      <c r="B173" s="50" t="s">
        <v>38</v>
      </c>
      <c r="C173" s="50" t="s">
        <v>571</v>
      </c>
      <c r="D173" s="50" t="s">
        <v>484</v>
      </c>
      <c r="E173" s="50">
        <v>2</v>
      </c>
      <c r="F173" s="50">
        <v>3</v>
      </c>
      <c r="G173" s="50">
        <v>-1</v>
      </c>
    </row>
    <row r="174" spans="1:7" x14ac:dyDescent="0.25">
      <c r="A174" s="50">
        <v>1857</v>
      </c>
      <c r="B174" s="50" t="s">
        <v>49</v>
      </c>
      <c r="C174" s="50" t="s">
        <v>287</v>
      </c>
      <c r="D174" s="50" t="s">
        <v>102</v>
      </c>
      <c r="E174" s="50">
        <v>12</v>
      </c>
      <c r="F174" s="50">
        <v>14</v>
      </c>
      <c r="G174" s="50">
        <v>-2</v>
      </c>
    </row>
    <row r="175" spans="1:7" x14ac:dyDescent="0.25">
      <c r="A175" s="50">
        <v>81</v>
      </c>
      <c r="B175" s="50" t="s">
        <v>44</v>
      </c>
      <c r="C175" s="50" t="s">
        <v>565</v>
      </c>
      <c r="D175" s="50" t="s">
        <v>484</v>
      </c>
      <c r="E175" s="50">
        <v>4</v>
      </c>
      <c r="F175" s="50">
        <v>4</v>
      </c>
      <c r="G175" s="50">
        <v>0</v>
      </c>
    </row>
    <row r="176" spans="1:7" x14ac:dyDescent="0.25">
      <c r="A176" s="50">
        <v>1873</v>
      </c>
      <c r="B176" s="50" t="s">
        <v>44</v>
      </c>
      <c r="C176" s="50" t="s">
        <v>297</v>
      </c>
      <c r="D176" s="50" t="s">
        <v>133</v>
      </c>
      <c r="E176" s="50">
        <v>1</v>
      </c>
      <c r="F176" s="50">
        <v>1</v>
      </c>
      <c r="G176" s="50">
        <v>0</v>
      </c>
    </row>
    <row r="177" spans="1:7" x14ac:dyDescent="0.25">
      <c r="A177" s="50">
        <v>2816</v>
      </c>
      <c r="B177" s="50" t="s">
        <v>38</v>
      </c>
      <c r="C177" s="50" t="s">
        <v>539</v>
      </c>
      <c r="D177" s="50" t="s">
        <v>483</v>
      </c>
      <c r="E177" s="50">
        <v>9</v>
      </c>
      <c r="F177" s="50">
        <v>5</v>
      </c>
      <c r="G177" s="50">
        <v>4</v>
      </c>
    </row>
    <row r="178" spans="1:7" x14ac:dyDescent="0.25">
      <c r="A178" s="50">
        <v>174</v>
      </c>
      <c r="B178" s="50" t="s">
        <v>44</v>
      </c>
      <c r="C178" s="50" t="s">
        <v>653</v>
      </c>
      <c r="D178" s="50" t="s">
        <v>484</v>
      </c>
      <c r="E178" s="50">
        <v>1</v>
      </c>
      <c r="F178" s="50">
        <v>1</v>
      </c>
      <c r="G178" s="50">
        <v>0</v>
      </c>
    </row>
    <row r="179" spans="1:7" x14ac:dyDescent="0.25">
      <c r="A179" s="50">
        <v>58</v>
      </c>
      <c r="B179" s="50" t="s">
        <v>44</v>
      </c>
      <c r="C179" s="50" t="s">
        <v>61</v>
      </c>
      <c r="D179" s="50" t="s">
        <v>62</v>
      </c>
      <c r="E179" s="50">
        <v>6</v>
      </c>
      <c r="F179" s="50">
        <v>9</v>
      </c>
      <c r="G179" s="50">
        <v>-3</v>
      </c>
    </row>
    <row r="180" spans="1:7" x14ac:dyDescent="0.25">
      <c r="A180" s="50">
        <v>2787</v>
      </c>
      <c r="B180" s="50" t="s">
        <v>38</v>
      </c>
      <c r="C180" s="50" t="s">
        <v>586</v>
      </c>
      <c r="D180" s="50" t="s">
        <v>41</v>
      </c>
      <c r="E180" s="50">
        <v>2</v>
      </c>
      <c r="F180" s="50">
        <v>2</v>
      </c>
      <c r="G180" s="50">
        <v>0</v>
      </c>
    </row>
    <row r="181" spans="1:7" x14ac:dyDescent="0.25">
      <c r="A181" s="50">
        <v>2746</v>
      </c>
      <c r="B181" s="50" t="s">
        <v>38</v>
      </c>
      <c r="C181" s="50" t="s">
        <v>540</v>
      </c>
      <c r="D181" s="50" t="s">
        <v>54</v>
      </c>
      <c r="E181" s="50">
        <v>5</v>
      </c>
      <c r="F181" s="50">
        <v>5</v>
      </c>
      <c r="G181" s="50">
        <v>0</v>
      </c>
    </row>
    <row r="182" spans="1:7" x14ac:dyDescent="0.25">
      <c r="A182" s="50">
        <v>1918</v>
      </c>
      <c r="B182" s="50" t="s">
        <v>38</v>
      </c>
      <c r="C182" s="50" t="s">
        <v>559</v>
      </c>
      <c r="D182" s="50" t="s">
        <v>483</v>
      </c>
      <c r="E182" s="50">
        <v>1</v>
      </c>
      <c r="F182" s="50">
        <v>4</v>
      </c>
      <c r="G182" s="50">
        <v>-3</v>
      </c>
    </row>
    <row r="183" spans="1:7" x14ac:dyDescent="0.25">
      <c r="A183" s="50">
        <v>254</v>
      </c>
      <c r="B183" s="50" t="s">
        <v>38</v>
      </c>
      <c r="C183" s="50" t="s">
        <v>537</v>
      </c>
      <c r="D183" s="50" t="s">
        <v>484</v>
      </c>
      <c r="E183" s="50">
        <v>4</v>
      </c>
      <c r="F183" s="50">
        <v>5</v>
      </c>
      <c r="G183" s="50">
        <v>-1</v>
      </c>
    </row>
    <row r="184" spans="1:7" x14ac:dyDescent="0.25">
      <c r="A184" s="50">
        <v>2798</v>
      </c>
      <c r="B184" s="50" t="s">
        <v>35</v>
      </c>
      <c r="C184" s="50" t="s">
        <v>685</v>
      </c>
      <c r="D184" s="50" t="s">
        <v>484</v>
      </c>
      <c r="E184" s="50">
        <v>1</v>
      </c>
      <c r="F184" s="50">
        <v>1</v>
      </c>
      <c r="G184" s="50">
        <v>0</v>
      </c>
    </row>
    <row r="185" spans="1:7" x14ac:dyDescent="0.25">
      <c r="A185" s="50">
        <v>213</v>
      </c>
      <c r="B185" s="50" t="s">
        <v>49</v>
      </c>
      <c r="C185" s="50" t="s">
        <v>499</v>
      </c>
      <c r="D185" s="50" t="s">
        <v>490</v>
      </c>
      <c r="E185" s="50">
        <v>5</v>
      </c>
      <c r="F185" s="50">
        <v>11</v>
      </c>
      <c r="G185" s="50">
        <v>-6</v>
      </c>
    </row>
    <row r="186" spans="1:7" x14ac:dyDescent="0.25">
      <c r="A186" s="50">
        <v>147</v>
      </c>
      <c r="B186" s="50" t="s">
        <v>44</v>
      </c>
      <c r="C186" s="50" t="s">
        <v>654</v>
      </c>
      <c r="D186" s="50" t="s">
        <v>69</v>
      </c>
      <c r="E186" s="50">
        <v>4</v>
      </c>
      <c r="F186" s="50">
        <v>4</v>
      </c>
      <c r="G186" s="50">
        <v>0</v>
      </c>
    </row>
    <row r="187" spans="1:7" x14ac:dyDescent="0.25">
      <c r="A187" s="50">
        <v>2869</v>
      </c>
      <c r="B187" s="50" t="s">
        <v>38</v>
      </c>
      <c r="C187" s="50" t="s">
        <v>534</v>
      </c>
      <c r="D187" s="50" t="s">
        <v>108</v>
      </c>
      <c r="E187" s="50">
        <v>7</v>
      </c>
      <c r="F187" s="50">
        <v>5</v>
      </c>
      <c r="G187" s="50">
        <v>2</v>
      </c>
    </row>
    <row r="188" spans="1:7" x14ac:dyDescent="0.25">
      <c r="A188" s="50">
        <v>787</v>
      </c>
      <c r="B188" s="50" t="s">
        <v>38</v>
      </c>
      <c r="C188" s="50" t="s">
        <v>272</v>
      </c>
      <c r="D188" s="50" t="s">
        <v>43</v>
      </c>
      <c r="E188" s="50">
        <v>3</v>
      </c>
      <c r="F188" s="50">
        <v>2</v>
      </c>
      <c r="G188" s="50">
        <v>1</v>
      </c>
    </row>
    <row r="189" spans="1:7" x14ac:dyDescent="0.25">
      <c r="A189" s="50">
        <v>344</v>
      </c>
      <c r="B189" s="50" t="s">
        <v>49</v>
      </c>
      <c r="C189" s="50" t="s">
        <v>154</v>
      </c>
      <c r="D189" s="50" t="s">
        <v>69</v>
      </c>
      <c r="E189" s="50">
        <v>7</v>
      </c>
      <c r="F189" s="50">
        <v>11</v>
      </c>
      <c r="G189" s="50">
        <v>-4</v>
      </c>
    </row>
    <row r="190" spans="1:7" x14ac:dyDescent="0.25">
      <c r="A190" s="50">
        <v>2831</v>
      </c>
      <c r="B190" s="50" t="s">
        <v>38</v>
      </c>
      <c r="C190" s="50" t="s">
        <v>513</v>
      </c>
      <c r="D190" s="50" t="s">
        <v>41</v>
      </c>
      <c r="E190" s="50">
        <v>5</v>
      </c>
      <c r="F190" s="50">
        <v>8</v>
      </c>
      <c r="G190" s="50">
        <v>-3</v>
      </c>
    </row>
    <row r="191" spans="1:7" x14ac:dyDescent="0.25">
      <c r="A191" s="50">
        <v>1995</v>
      </c>
      <c r="B191" s="50" t="s">
        <v>44</v>
      </c>
      <c r="C191" s="50" t="s">
        <v>320</v>
      </c>
      <c r="D191" s="50" t="s">
        <v>102</v>
      </c>
      <c r="E191" s="50">
        <v>6</v>
      </c>
      <c r="F191" s="50">
        <v>5</v>
      </c>
      <c r="G191" s="50">
        <v>1</v>
      </c>
    </row>
    <row r="192" spans="1:7" x14ac:dyDescent="0.25">
      <c r="A192" s="50">
        <v>216</v>
      </c>
      <c r="B192" s="50" t="s">
        <v>35</v>
      </c>
      <c r="C192" s="50" t="s">
        <v>106</v>
      </c>
      <c r="D192" s="50" t="s">
        <v>40</v>
      </c>
      <c r="E192" s="50">
        <v>1</v>
      </c>
      <c r="F192" s="50">
        <v>1</v>
      </c>
      <c r="G192" s="50">
        <v>0</v>
      </c>
    </row>
    <row r="193" spans="1:7" x14ac:dyDescent="0.25">
      <c r="A193" s="50">
        <v>350</v>
      </c>
      <c r="B193" s="50" t="s">
        <v>35</v>
      </c>
      <c r="C193" s="50" t="s">
        <v>155</v>
      </c>
      <c r="D193" s="50" t="s">
        <v>40</v>
      </c>
      <c r="E193" s="50">
        <v>15</v>
      </c>
      <c r="F193" s="50">
        <v>12</v>
      </c>
      <c r="G193" s="50">
        <v>3</v>
      </c>
    </row>
    <row r="194" spans="1:7" x14ac:dyDescent="0.25">
      <c r="A194" s="50">
        <v>669</v>
      </c>
      <c r="B194" s="50" t="s">
        <v>44</v>
      </c>
      <c r="C194" s="50" t="s">
        <v>256</v>
      </c>
      <c r="D194" s="50" t="s">
        <v>54</v>
      </c>
      <c r="E194" s="50">
        <v>3</v>
      </c>
      <c r="F194" s="50">
        <v>8</v>
      </c>
      <c r="G194" s="50">
        <v>-5</v>
      </c>
    </row>
    <row r="195" spans="1:7" x14ac:dyDescent="0.25">
      <c r="A195" s="50">
        <v>2200</v>
      </c>
      <c r="B195" s="50" t="s">
        <v>44</v>
      </c>
      <c r="C195" s="50" t="s">
        <v>384</v>
      </c>
      <c r="D195" s="50" t="s">
        <v>104</v>
      </c>
      <c r="E195" s="50">
        <v>17</v>
      </c>
      <c r="F195" s="50">
        <v>24</v>
      </c>
      <c r="G195" s="50">
        <v>-7</v>
      </c>
    </row>
    <row r="196" spans="1:7" x14ac:dyDescent="0.25">
      <c r="A196" s="50">
        <v>1917</v>
      </c>
      <c r="B196" s="50" t="s">
        <v>35</v>
      </c>
      <c r="C196" s="50" t="s">
        <v>303</v>
      </c>
      <c r="D196" s="50" t="s">
        <v>483</v>
      </c>
      <c r="E196" s="50">
        <v>1</v>
      </c>
      <c r="F196" s="50">
        <v>1</v>
      </c>
      <c r="G196" s="50">
        <v>0</v>
      </c>
    </row>
    <row r="197" spans="1:7" x14ac:dyDescent="0.25">
      <c r="A197" s="50">
        <v>526</v>
      </c>
      <c r="B197" s="50" t="s">
        <v>44</v>
      </c>
      <c r="C197" s="50" t="s">
        <v>213</v>
      </c>
      <c r="D197" s="50" t="s">
        <v>102</v>
      </c>
      <c r="E197" s="50">
        <v>12</v>
      </c>
      <c r="F197" s="50">
        <v>8</v>
      </c>
      <c r="G197" s="50">
        <v>4</v>
      </c>
    </row>
    <row r="198" spans="1:7" x14ac:dyDescent="0.25">
      <c r="A198" s="50">
        <v>2772</v>
      </c>
      <c r="B198" s="50" t="s">
        <v>38</v>
      </c>
      <c r="C198" s="50" t="s">
        <v>535</v>
      </c>
      <c r="D198" s="50" t="s">
        <v>133</v>
      </c>
      <c r="E198" s="50">
        <v>1</v>
      </c>
      <c r="F198" s="50">
        <v>5</v>
      </c>
      <c r="G198" s="50">
        <v>-4</v>
      </c>
    </row>
    <row r="199" spans="1:7" x14ac:dyDescent="0.25">
      <c r="A199" s="50">
        <v>309</v>
      </c>
      <c r="B199" s="50" t="s">
        <v>49</v>
      </c>
      <c r="C199" s="50" t="s">
        <v>141</v>
      </c>
      <c r="D199" s="50" t="s">
        <v>104</v>
      </c>
      <c r="E199" s="50">
        <v>24</v>
      </c>
      <c r="F199" s="50">
        <v>36</v>
      </c>
      <c r="G199" s="50">
        <v>-12</v>
      </c>
    </row>
    <row r="200" spans="1:7" x14ac:dyDescent="0.25">
      <c r="A200" s="50">
        <v>647</v>
      </c>
      <c r="B200" s="50" t="s">
        <v>49</v>
      </c>
      <c r="C200" s="50" t="s">
        <v>252</v>
      </c>
      <c r="D200" s="50" t="s">
        <v>84</v>
      </c>
      <c r="E200" s="50">
        <v>24</v>
      </c>
      <c r="F200" s="50">
        <v>35</v>
      </c>
      <c r="G200" s="50">
        <v>-11</v>
      </c>
    </row>
    <row r="201" spans="1:7" x14ac:dyDescent="0.25">
      <c r="A201" s="50">
        <v>713</v>
      </c>
      <c r="B201" s="50" t="s">
        <v>44</v>
      </c>
      <c r="C201" s="50" t="s">
        <v>263</v>
      </c>
      <c r="D201" s="50" t="s">
        <v>54</v>
      </c>
      <c r="E201" s="50">
        <v>6</v>
      </c>
      <c r="F201" s="50">
        <v>13</v>
      </c>
      <c r="G201" s="50">
        <v>-7</v>
      </c>
    </row>
    <row r="202" spans="1:7" x14ac:dyDescent="0.25">
      <c r="A202" s="50">
        <v>1839</v>
      </c>
      <c r="B202" s="50" t="s">
        <v>49</v>
      </c>
      <c r="C202" s="50" t="s">
        <v>283</v>
      </c>
      <c r="D202" s="50" t="s">
        <v>54</v>
      </c>
      <c r="E202" s="50">
        <v>2</v>
      </c>
      <c r="F202" s="50">
        <v>4</v>
      </c>
      <c r="G202" s="50">
        <v>-2</v>
      </c>
    </row>
    <row r="203" spans="1:7" x14ac:dyDescent="0.25">
      <c r="A203" s="50">
        <v>2391</v>
      </c>
      <c r="B203" s="50" t="s">
        <v>44</v>
      </c>
      <c r="C203" s="50" t="s">
        <v>516</v>
      </c>
      <c r="D203" s="50" t="s">
        <v>98</v>
      </c>
      <c r="E203" s="50">
        <v>10</v>
      </c>
      <c r="F203" s="50">
        <v>8</v>
      </c>
      <c r="G203" s="50">
        <v>2</v>
      </c>
    </row>
    <row r="204" spans="1:7" x14ac:dyDescent="0.25">
      <c r="A204" s="50">
        <v>795</v>
      </c>
      <c r="B204" s="50" t="s">
        <v>49</v>
      </c>
      <c r="C204" s="50" t="s">
        <v>276</v>
      </c>
      <c r="D204" s="50" t="s">
        <v>84</v>
      </c>
      <c r="E204" s="50">
        <v>17</v>
      </c>
      <c r="F204" s="50">
        <v>16</v>
      </c>
      <c r="G204" s="50">
        <v>1</v>
      </c>
    </row>
    <row r="205" spans="1:7" x14ac:dyDescent="0.25">
      <c r="A205" s="50">
        <v>2664</v>
      </c>
      <c r="B205" s="50" t="s">
        <v>38</v>
      </c>
      <c r="C205" s="50" t="s">
        <v>441</v>
      </c>
      <c r="D205" s="50" t="s">
        <v>59</v>
      </c>
      <c r="E205" s="50">
        <v>2</v>
      </c>
      <c r="F205" s="50">
        <v>2</v>
      </c>
      <c r="G205" s="50">
        <v>0</v>
      </c>
    </row>
    <row r="206" spans="1:7" x14ac:dyDescent="0.25">
      <c r="A206" s="50">
        <v>2843</v>
      </c>
      <c r="B206" s="50" t="s">
        <v>44</v>
      </c>
      <c r="C206" s="50" t="s">
        <v>686</v>
      </c>
      <c r="D206" s="50" t="s">
        <v>96</v>
      </c>
      <c r="E206" s="50">
        <v>1</v>
      </c>
      <c r="F206" s="50">
        <v>1</v>
      </c>
      <c r="G206" s="50">
        <v>0</v>
      </c>
    </row>
    <row r="207" spans="1:7" x14ac:dyDescent="0.25">
      <c r="A207" s="50">
        <v>2652</v>
      </c>
      <c r="B207" s="50" t="s">
        <v>44</v>
      </c>
      <c r="C207" s="50" t="s">
        <v>436</v>
      </c>
      <c r="D207" s="50" t="s">
        <v>41</v>
      </c>
      <c r="E207" s="50">
        <v>4</v>
      </c>
      <c r="F207" s="50">
        <v>6</v>
      </c>
      <c r="G207" s="50">
        <v>-2</v>
      </c>
    </row>
    <row r="208" spans="1:7" x14ac:dyDescent="0.25">
      <c r="A208" s="50">
        <v>1988</v>
      </c>
      <c r="B208" s="50" t="s">
        <v>49</v>
      </c>
      <c r="C208" s="50" t="s">
        <v>448</v>
      </c>
      <c r="D208" s="50" t="s">
        <v>67</v>
      </c>
      <c r="E208" s="50">
        <v>4</v>
      </c>
      <c r="F208" s="50">
        <v>4</v>
      </c>
      <c r="G208" s="50">
        <v>0</v>
      </c>
    </row>
    <row r="209" spans="1:7" x14ac:dyDescent="0.25">
      <c r="A209" s="50">
        <v>2290</v>
      </c>
      <c r="B209" s="50" t="s">
        <v>44</v>
      </c>
      <c r="C209" s="50" t="s">
        <v>411</v>
      </c>
      <c r="D209" s="50" t="s">
        <v>37</v>
      </c>
      <c r="E209" s="50">
        <v>6</v>
      </c>
      <c r="F209" s="50">
        <v>8</v>
      </c>
      <c r="G209" s="50">
        <v>-2</v>
      </c>
    </row>
    <row r="210" spans="1:7" x14ac:dyDescent="0.25">
      <c r="A210" s="50">
        <v>532</v>
      </c>
      <c r="B210" s="50" t="s">
        <v>49</v>
      </c>
      <c r="C210" s="50" t="s">
        <v>217</v>
      </c>
      <c r="D210" s="50" t="s">
        <v>54</v>
      </c>
      <c r="E210" s="50">
        <v>9</v>
      </c>
      <c r="F210" s="50">
        <v>16</v>
      </c>
      <c r="G210" s="50">
        <v>-7</v>
      </c>
    </row>
    <row r="211" spans="1:7" x14ac:dyDescent="0.25">
      <c r="A211" s="50">
        <v>2134</v>
      </c>
      <c r="B211" s="50" t="s">
        <v>35</v>
      </c>
      <c r="C211" s="50" t="s">
        <v>612</v>
      </c>
      <c r="D211" s="50" t="s">
        <v>98</v>
      </c>
      <c r="E211" s="50">
        <v>1</v>
      </c>
      <c r="F211" s="50">
        <v>1</v>
      </c>
      <c r="G211" s="50">
        <v>0</v>
      </c>
    </row>
    <row r="212" spans="1:7" x14ac:dyDescent="0.25">
      <c r="A212" s="50">
        <v>2210</v>
      </c>
      <c r="B212" s="50" t="s">
        <v>44</v>
      </c>
      <c r="C212" s="50" t="s">
        <v>390</v>
      </c>
      <c r="D212" s="50" t="s">
        <v>54</v>
      </c>
      <c r="E212" s="50">
        <v>3</v>
      </c>
      <c r="F212" s="50">
        <v>3</v>
      </c>
      <c r="G212" s="50">
        <v>0</v>
      </c>
    </row>
    <row r="213" spans="1:7" x14ac:dyDescent="0.25">
      <c r="A213" s="50">
        <v>2116</v>
      </c>
      <c r="B213" s="50" t="s">
        <v>38</v>
      </c>
      <c r="C213" s="50" t="s">
        <v>562</v>
      </c>
      <c r="D213" s="50" t="s">
        <v>46</v>
      </c>
      <c r="E213" s="50">
        <v>5</v>
      </c>
      <c r="F213" s="50">
        <v>4</v>
      </c>
      <c r="G213" s="50">
        <v>1</v>
      </c>
    </row>
    <row r="214" spans="1:7" x14ac:dyDescent="0.25">
      <c r="A214" s="50">
        <v>633</v>
      </c>
      <c r="B214" s="50" t="s">
        <v>44</v>
      </c>
      <c r="C214" s="50" t="s">
        <v>247</v>
      </c>
      <c r="D214" s="50" t="s">
        <v>41</v>
      </c>
      <c r="E214" s="50">
        <v>8</v>
      </c>
      <c r="F214" s="50">
        <v>5</v>
      </c>
      <c r="G214" s="50">
        <v>3</v>
      </c>
    </row>
    <row r="215" spans="1:7" x14ac:dyDescent="0.25">
      <c r="A215" s="50">
        <v>1879</v>
      </c>
      <c r="B215" s="50" t="s">
        <v>49</v>
      </c>
      <c r="C215" s="50" t="s">
        <v>299</v>
      </c>
      <c r="D215" s="50" t="s">
        <v>483</v>
      </c>
      <c r="E215" s="50">
        <v>11</v>
      </c>
      <c r="F215" s="50">
        <v>12</v>
      </c>
      <c r="G215" s="50">
        <v>-1</v>
      </c>
    </row>
    <row r="216" spans="1:7" x14ac:dyDescent="0.25">
      <c r="A216" s="50">
        <v>819</v>
      </c>
      <c r="B216" s="50" t="s">
        <v>49</v>
      </c>
      <c r="C216" s="50" t="s">
        <v>503</v>
      </c>
      <c r="D216" s="50" t="s">
        <v>59</v>
      </c>
      <c r="E216" s="50">
        <v>5</v>
      </c>
      <c r="F216" s="50">
        <v>10</v>
      </c>
      <c r="G216" s="50">
        <v>-5</v>
      </c>
    </row>
    <row r="217" spans="1:7" x14ac:dyDescent="0.25">
      <c r="A217" s="50">
        <v>2016</v>
      </c>
      <c r="B217" s="50" t="s">
        <v>38</v>
      </c>
      <c r="C217" s="50" t="s">
        <v>332</v>
      </c>
      <c r="D217" s="50" t="s">
        <v>84</v>
      </c>
      <c r="E217" s="50">
        <v>10</v>
      </c>
      <c r="F217" s="50">
        <v>11</v>
      </c>
      <c r="G217" s="50">
        <v>-1</v>
      </c>
    </row>
    <row r="218" spans="1:7" x14ac:dyDescent="0.25">
      <c r="A218" s="50">
        <v>708</v>
      </c>
      <c r="B218" s="50" t="s">
        <v>38</v>
      </c>
      <c r="C218" s="50" t="s">
        <v>262</v>
      </c>
      <c r="D218" s="50" t="s">
        <v>41</v>
      </c>
      <c r="E218" s="50">
        <v>6</v>
      </c>
      <c r="F218" s="50">
        <v>6</v>
      </c>
      <c r="G218" s="50">
        <v>0</v>
      </c>
    </row>
    <row r="219" spans="1:7" x14ac:dyDescent="0.25">
      <c r="A219" s="50">
        <v>2863</v>
      </c>
      <c r="B219" s="50" t="s">
        <v>44</v>
      </c>
      <c r="C219" s="50" t="s">
        <v>523</v>
      </c>
      <c r="D219" s="50" t="s">
        <v>37</v>
      </c>
      <c r="E219" s="50">
        <v>5</v>
      </c>
      <c r="F219" s="50">
        <v>7</v>
      </c>
      <c r="G219" s="50">
        <v>-2</v>
      </c>
    </row>
    <row r="220" spans="1:7" x14ac:dyDescent="0.25">
      <c r="A220" s="50">
        <v>45</v>
      </c>
      <c r="B220" s="50" t="s">
        <v>38</v>
      </c>
      <c r="C220" s="50" t="s">
        <v>56</v>
      </c>
      <c r="D220" s="50" t="s">
        <v>98</v>
      </c>
      <c r="E220" s="50">
        <v>1</v>
      </c>
      <c r="F220" s="50">
        <v>4</v>
      </c>
      <c r="G220" s="50">
        <v>-3</v>
      </c>
    </row>
    <row r="221" spans="1:7" x14ac:dyDescent="0.25">
      <c r="A221" s="50">
        <v>1895</v>
      </c>
      <c r="B221" s="50" t="s">
        <v>38</v>
      </c>
      <c r="C221" s="50" t="s">
        <v>302</v>
      </c>
      <c r="D221" s="50" t="s">
        <v>102</v>
      </c>
      <c r="E221" s="50">
        <v>9</v>
      </c>
      <c r="F221" s="50">
        <v>8</v>
      </c>
      <c r="G221" s="50">
        <v>1</v>
      </c>
    </row>
    <row r="222" spans="1:7" x14ac:dyDescent="0.25">
      <c r="A222" s="50">
        <v>533</v>
      </c>
      <c r="B222" s="50" t="s">
        <v>49</v>
      </c>
      <c r="C222" s="50" t="s">
        <v>218</v>
      </c>
      <c r="D222" s="50" t="s">
        <v>41</v>
      </c>
      <c r="E222" s="50">
        <v>2</v>
      </c>
      <c r="F222" s="50">
        <v>5</v>
      </c>
      <c r="G222" s="50">
        <v>-3</v>
      </c>
    </row>
    <row r="223" spans="1:7" x14ac:dyDescent="0.25">
      <c r="A223" s="50">
        <v>464</v>
      </c>
      <c r="B223" s="50" t="s">
        <v>38</v>
      </c>
      <c r="C223" s="50" t="s">
        <v>195</v>
      </c>
      <c r="D223" s="50" t="s">
        <v>84</v>
      </c>
      <c r="E223" s="50">
        <v>14</v>
      </c>
      <c r="F223" s="50">
        <v>14</v>
      </c>
      <c r="G223" s="50">
        <v>0</v>
      </c>
    </row>
    <row r="224" spans="1:7" x14ac:dyDescent="0.25">
      <c r="A224" s="50">
        <v>1986</v>
      </c>
      <c r="B224" s="50" t="s">
        <v>44</v>
      </c>
      <c r="C224" s="50" t="s">
        <v>318</v>
      </c>
      <c r="D224" s="50" t="s">
        <v>67</v>
      </c>
      <c r="E224" s="50">
        <v>9</v>
      </c>
      <c r="F224" s="50">
        <v>9</v>
      </c>
      <c r="G224" s="50">
        <v>0</v>
      </c>
    </row>
    <row r="225" spans="1:7" x14ac:dyDescent="0.25">
      <c r="A225" s="50">
        <v>2799</v>
      </c>
      <c r="B225" s="50" t="s">
        <v>35</v>
      </c>
      <c r="C225" s="50" t="s">
        <v>610</v>
      </c>
      <c r="D225" s="50" t="s">
        <v>484</v>
      </c>
      <c r="E225" s="50">
        <v>1</v>
      </c>
      <c r="F225" s="50">
        <v>1</v>
      </c>
      <c r="G225" s="50">
        <v>0</v>
      </c>
    </row>
    <row r="226" spans="1:7" x14ac:dyDescent="0.25">
      <c r="A226" s="50">
        <v>2848</v>
      </c>
      <c r="B226" s="50" t="s">
        <v>44</v>
      </c>
      <c r="C226" s="50" t="s">
        <v>687</v>
      </c>
      <c r="D226" s="50" t="s">
        <v>102</v>
      </c>
      <c r="E226" s="50">
        <v>1</v>
      </c>
      <c r="F226" s="50">
        <v>1</v>
      </c>
      <c r="G226" s="50">
        <v>0</v>
      </c>
    </row>
    <row r="227" spans="1:7" x14ac:dyDescent="0.25">
      <c r="A227" s="50">
        <v>788</v>
      </c>
      <c r="B227" s="50" t="s">
        <v>44</v>
      </c>
      <c r="C227" s="50" t="s">
        <v>273</v>
      </c>
      <c r="D227" s="50" t="s">
        <v>43</v>
      </c>
      <c r="E227" s="50">
        <v>17</v>
      </c>
      <c r="F227" s="50">
        <v>16</v>
      </c>
      <c r="G227" s="50">
        <v>1</v>
      </c>
    </row>
    <row r="228" spans="1:7" x14ac:dyDescent="0.25">
      <c r="A228" s="50">
        <v>1941</v>
      </c>
      <c r="B228" s="50" t="s">
        <v>35</v>
      </c>
      <c r="C228" s="50" t="s">
        <v>602</v>
      </c>
      <c r="D228" s="50" t="s">
        <v>41</v>
      </c>
      <c r="E228" s="50">
        <v>1</v>
      </c>
      <c r="F228" s="50">
        <v>1</v>
      </c>
      <c r="G228" s="50">
        <v>0</v>
      </c>
    </row>
    <row r="229" spans="1:7" x14ac:dyDescent="0.25">
      <c r="A229" s="50">
        <v>2781</v>
      </c>
      <c r="B229" s="50" t="s">
        <v>35</v>
      </c>
      <c r="C229" s="50" t="s">
        <v>611</v>
      </c>
      <c r="D229" s="50" t="s">
        <v>84</v>
      </c>
      <c r="E229" s="50">
        <v>1</v>
      </c>
      <c r="F229" s="50">
        <v>1</v>
      </c>
      <c r="G229" s="50">
        <v>0</v>
      </c>
    </row>
    <row r="230" spans="1:7" x14ac:dyDescent="0.25">
      <c r="A230" s="50">
        <v>407</v>
      </c>
      <c r="B230" s="50" t="s">
        <v>49</v>
      </c>
      <c r="C230" s="50" t="s">
        <v>655</v>
      </c>
      <c r="D230" s="50" t="s">
        <v>98</v>
      </c>
      <c r="E230" s="50">
        <v>20</v>
      </c>
      <c r="F230" s="50">
        <v>19</v>
      </c>
      <c r="G230" s="50">
        <v>1</v>
      </c>
    </row>
    <row r="231" spans="1:7" x14ac:dyDescent="0.25">
      <c r="A231" s="50">
        <v>385</v>
      </c>
      <c r="B231" s="50" t="s">
        <v>35</v>
      </c>
      <c r="C231" s="50" t="s">
        <v>449</v>
      </c>
      <c r="D231" s="50" t="s">
        <v>40</v>
      </c>
      <c r="E231" s="50">
        <v>1</v>
      </c>
      <c r="F231" s="50">
        <v>1</v>
      </c>
      <c r="G231" s="50">
        <v>0</v>
      </c>
    </row>
    <row r="232" spans="1:7" x14ac:dyDescent="0.25">
      <c r="A232" s="50">
        <v>801</v>
      </c>
      <c r="B232" s="50" t="s">
        <v>44</v>
      </c>
      <c r="C232" s="50" t="s">
        <v>278</v>
      </c>
      <c r="D232" s="50" t="s">
        <v>96</v>
      </c>
      <c r="E232" s="50">
        <v>6</v>
      </c>
      <c r="F232" s="50">
        <v>7</v>
      </c>
      <c r="G232" s="50">
        <v>-1</v>
      </c>
    </row>
    <row r="233" spans="1:7" x14ac:dyDescent="0.25">
      <c r="A233" s="50">
        <v>73</v>
      </c>
      <c r="B233" s="50" t="s">
        <v>38</v>
      </c>
      <c r="C233" s="50" t="s">
        <v>528</v>
      </c>
      <c r="D233" s="50" t="s">
        <v>484</v>
      </c>
      <c r="E233" s="50">
        <v>9</v>
      </c>
      <c r="F233" s="50">
        <v>6</v>
      </c>
      <c r="G233" s="50">
        <v>3</v>
      </c>
    </row>
    <row r="234" spans="1:7" x14ac:dyDescent="0.25">
      <c r="A234" s="50">
        <v>2196</v>
      </c>
      <c r="B234" s="50" t="s">
        <v>49</v>
      </c>
      <c r="C234" s="50" t="s">
        <v>381</v>
      </c>
      <c r="D234" s="50" t="s">
        <v>59</v>
      </c>
      <c r="E234" s="50">
        <v>4</v>
      </c>
      <c r="F234" s="50">
        <v>4</v>
      </c>
      <c r="G234" s="50">
        <v>0</v>
      </c>
    </row>
    <row r="235" spans="1:7" x14ac:dyDescent="0.25">
      <c r="A235" s="50">
        <v>2858</v>
      </c>
      <c r="B235" s="50" t="s">
        <v>49</v>
      </c>
      <c r="C235" s="50" t="s">
        <v>688</v>
      </c>
      <c r="D235" s="50" t="s">
        <v>484</v>
      </c>
      <c r="E235" s="50">
        <v>8</v>
      </c>
      <c r="F235" s="50">
        <v>8</v>
      </c>
      <c r="G235" s="50">
        <v>0</v>
      </c>
    </row>
    <row r="236" spans="1:7" x14ac:dyDescent="0.25">
      <c r="A236" s="50">
        <v>2183</v>
      </c>
      <c r="B236" s="50" t="s">
        <v>44</v>
      </c>
      <c r="C236" s="50" t="s">
        <v>450</v>
      </c>
      <c r="D236" s="50" t="s">
        <v>69</v>
      </c>
      <c r="E236" s="50">
        <v>2</v>
      </c>
      <c r="F236" s="50">
        <v>2</v>
      </c>
      <c r="G236" s="50">
        <v>0</v>
      </c>
    </row>
    <row r="237" spans="1:7" x14ac:dyDescent="0.25">
      <c r="A237" s="50">
        <v>2185</v>
      </c>
      <c r="B237" s="50" t="s">
        <v>44</v>
      </c>
      <c r="C237" s="50" t="s">
        <v>373</v>
      </c>
      <c r="D237" s="50" t="s">
        <v>69</v>
      </c>
      <c r="E237" s="50">
        <v>1</v>
      </c>
      <c r="F237" s="50">
        <v>1</v>
      </c>
      <c r="G237" s="50">
        <v>0</v>
      </c>
    </row>
    <row r="238" spans="1:7" x14ac:dyDescent="0.25">
      <c r="A238" s="50">
        <v>519</v>
      </c>
      <c r="B238" s="50" t="s">
        <v>38</v>
      </c>
      <c r="C238" s="50" t="s">
        <v>451</v>
      </c>
      <c r="D238" s="50" t="s">
        <v>484</v>
      </c>
      <c r="E238" s="50">
        <v>4</v>
      </c>
      <c r="F238" s="50">
        <v>5</v>
      </c>
      <c r="G238" s="50">
        <v>-1</v>
      </c>
    </row>
    <row r="239" spans="1:7" x14ac:dyDescent="0.25">
      <c r="A239" s="50">
        <v>1967</v>
      </c>
      <c r="B239" s="50" t="s">
        <v>44</v>
      </c>
      <c r="C239" s="50" t="s">
        <v>311</v>
      </c>
      <c r="D239" s="50" t="s">
        <v>37</v>
      </c>
      <c r="E239" s="50">
        <v>10</v>
      </c>
      <c r="F239" s="50">
        <v>11</v>
      </c>
      <c r="G239" s="50">
        <v>-1</v>
      </c>
    </row>
    <row r="240" spans="1:7" x14ac:dyDescent="0.25">
      <c r="A240" s="50">
        <v>474</v>
      </c>
      <c r="B240" s="50" t="s">
        <v>49</v>
      </c>
      <c r="C240" s="50" t="s">
        <v>502</v>
      </c>
      <c r="D240" s="50" t="s">
        <v>484</v>
      </c>
      <c r="E240" s="50">
        <v>14</v>
      </c>
      <c r="F240" s="50">
        <v>10</v>
      </c>
      <c r="G240" s="50">
        <v>4</v>
      </c>
    </row>
    <row r="241" spans="1:7" x14ac:dyDescent="0.25">
      <c r="A241" s="50">
        <v>2874</v>
      </c>
      <c r="B241" s="50" t="s">
        <v>35</v>
      </c>
      <c r="C241" s="50" t="s">
        <v>617</v>
      </c>
      <c r="D241" s="50" t="s">
        <v>37</v>
      </c>
      <c r="E241" s="50">
        <v>1</v>
      </c>
      <c r="F241" s="50">
        <v>1</v>
      </c>
      <c r="G241" s="50">
        <v>0</v>
      </c>
    </row>
    <row r="242" spans="1:7" x14ac:dyDescent="0.25">
      <c r="A242" s="50">
        <v>244</v>
      </c>
      <c r="B242" s="50" t="s">
        <v>38</v>
      </c>
      <c r="C242" s="50" t="s">
        <v>591</v>
      </c>
      <c r="D242" s="50" t="s">
        <v>490</v>
      </c>
      <c r="E242" s="50">
        <v>4</v>
      </c>
      <c r="F242" s="50">
        <v>2</v>
      </c>
      <c r="G242" s="50">
        <v>2</v>
      </c>
    </row>
    <row r="243" spans="1:7" x14ac:dyDescent="0.25">
      <c r="A243" s="50">
        <v>390</v>
      </c>
      <c r="B243" s="50" t="s">
        <v>38</v>
      </c>
      <c r="C243" s="50" t="s">
        <v>175</v>
      </c>
      <c r="D243" s="50" t="s">
        <v>62</v>
      </c>
      <c r="E243" s="50">
        <v>7</v>
      </c>
      <c r="F243" s="50">
        <v>9</v>
      </c>
      <c r="G243" s="50">
        <v>-2</v>
      </c>
    </row>
    <row r="244" spans="1:7" x14ac:dyDescent="0.25">
      <c r="A244" s="50">
        <v>702</v>
      </c>
      <c r="B244" s="50" t="s">
        <v>44</v>
      </c>
      <c r="C244" s="50" t="s">
        <v>259</v>
      </c>
      <c r="D244" s="50" t="s">
        <v>69</v>
      </c>
      <c r="E244" s="50">
        <v>11</v>
      </c>
      <c r="F244" s="50">
        <v>14</v>
      </c>
      <c r="G244" s="50">
        <v>-3</v>
      </c>
    </row>
    <row r="245" spans="1:7" x14ac:dyDescent="0.25">
      <c r="A245" s="50">
        <v>105</v>
      </c>
      <c r="B245" s="50" t="s">
        <v>38</v>
      </c>
      <c r="C245" s="50" t="s">
        <v>72</v>
      </c>
      <c r="D245" s="50" t="s">
        <v>484</v>
      </c>
      <c r="E245" s="50">
        <v>3</v>
      </c>
      <c r="F245" s="50">
        <v>2</v>
      </c>
      <c r="G245" s="50">
        <v>1</v>
      </c>
    </row>
    <row r="246" spans="1:7" x14ac:dyDescent="0.25">
      <c r="A246" s="50">
        <v>418</v>
      </c>
      <c r="B246" s="50" t="s">
        <v>38</v>
      </c>
      <c r="C246" s="50" t="s">
        <v>186</v>
      </c>
      <c r="D246" s="50" t="s">
        <v>490</v>
      </c>
      <c r="E246" s="50">
        <v>6</v>
      </c>
      <c r="F246" s="50">
        <v>6</v>
      </c>
      <c r="G246" s="50">
        <v>0</v>
      </c>
    </row>
    <row r="247" spans="1:7" x14ac:dyDescent="0.25">
      <c r="A247" s="50">
        <v>610</v>
      </c>
      <c r="B247" s="50" t="s">
        <v>35</v>
      </c>
      <c r="C247" s="50" t="s">
        <v>239</v>
      </c>
      <c r="D247" s="50" t="s">
        <v>43</v>
      </c>
      <c r="E247" s="50">
        <v>4</v>
      </c>
      <c r="F247" s="50">
        <v>1</v>
      </c>
      <c r="G247" s="50">
        <v>3</v>
      </c>
    </row>
    <row r="248" spans="1:7" x14ac:dyDescent="0.25">
      <c r="A248" s="50">
        <v>26</v>
      </c>
      <c r="B248" s="50" t="s">
        <v>49</v>
      </c>
      <c r="C248" s="50" t="s">
        <v>50</v>
      </c>
      <c r="D248" s="50" t="s">
        <v>43</v>
      </c>
      <c r="E248" s="50">
        <v>23</v>
      </c>
      <c r="F248" s="50">
        <v>23</v>
      </c>
      <c r="G248" s="50">
        <v>0</v>
      </c>
    </row>
    <row r="249" spans="1:7" x14ac:dyDescent="0.25">
      <c r="A249" s="50">
        <v>2052</v>
      </c>
      <c r="B249" s="50" t="s">
        <v>38</v>
      </c>
      <c r="C249" s="50" t="s">
        <v>335</v>
      </c>
      <c r="D249" s="50" t="s">
        <v>40</v>
      </c>
      <c r="E249" s="50">
        <v>2</v>
      </c>
      <c r="F249" s="50">
        <v>2</v>
      </c>
      <c r="G249" s="50">
        <v>0</v>
      </c>
    </row>
    <row r="250" spans="1:7" x14ac:dyDescent="0.25">
      <c r="A250" s="50">
        <v>540</v>
      </c>
      <c r="B250" s="50" t="s">
        <v>35</v>
      </c>
      <c r="C250" s="50" t="s">
        <v>220</v>
      </c>
      <c r="D250" s="50" t="s">
        <v>41</v>
      </c>
      <c r="E250" s="50">
        <v>8</v>
      </c>
      <c r="F250" s="50">
        <v>1</v>
      </c>
      <c r="G250" s="50">
        <v>7</v>
      </c>
    </row>
    <row r="251" spans="1:7" x14ac:dyDescent="0.25">
      <c r="A251" s="50">
        <v>2193</v>
      </c>
      <c r="B251" s="50" t="s">
        <v>44</v>
      </c>
      <c r="C251" s="50" t="s">
        <v>378</v>
      </c>
      <c r="D251" s="50" t="s">
        <v>84</v>
      </c>
      <c r="E251" s="50">
        <v>4</v>
      </c>
      <c r="F251" s="50">
        <v>4</v>
      </c>
      <c r="G251" s="50">
        <v>0</v>
      </c>
    </row>
    <row r="252" spans="1:7" x14ac:dyDescent="0.25">
      <c r="A252" s="50">
        <v>419</v>
      </c>
      <c r="B252" s="50" t="s">
        <v>38</v>
      </c>
      <c r="C252" s="50" t="s">
        <v>187</v>
      </c>
      <c r="D252" s="50" t="s">
        <v>54</v>
      </c>
      <c r="E252" s="50">
        <v>5</v>
      </c>
      <c r="F252" s="50">
        <v>6</v>
      </c>
      <c r="G252" s="50">
        <v>-1</v>
      </c>
    </row>
    <row r="253" spans="1:7" x14ac:dyDescent="0.25">
      <c r="A253" s="50">
        <v>205</v>
      </c>
      <c r="B253" s="50" t="s">
        <v>44</v>
      </c>
      <c r="C253" s="50" t="s">
        <v>625</v>
      </c>
      <c r="D253" s="50" t="s">
        <v>490</v>
      </c>
      <c r="E253" s="50">
        <v>2</v>
      </c>
      <c r="F253" s="50">
        <v>1</v>
      </c>
      <c r="G253" s="50">
        <v>1</v>
      </c>
    </row>
    <row r="254" spans="1:7" x14ac:dyDescent="0.25">
      <c r="A254" s="50">
        <v>2160</v>
      </c>
      <c r="B254" s="50" t="s">
        <v>38</v>
      </c>
      <c r="C254" s="50" t="s">
        <v>356</v>
      </c>
      <c r="D254" s="50" t="s">
        <v>43</v>
      </c>
      <c r="E254" s="50">
        <v>10</v>
      </c>
      <c r="F254" s="50">
        <v>7</v>
      </c>
      <c r="G254" s="50">
        <v>3</v>
      </c>
    </row>
    <row r="255" spans="1:7" x14ac:dyDescent="0.25">
      <c r="A255" s="50">
        <v>2840</v>
      </c>
      <c r="B255" s="50" t="s">
        <v>49</v>
      </c>
      <c r="C255" s="50" t="s">
        <v>642</v>
      </c>
      <c r="D255" s="50" t="s">
        <v>37</v>
      </c>
      <c r="E255" s="50">
        <v>1</v>
      </c>
      <c r="F255" s="50">
        <v>1</v>
      </c>
      <c r="G255" s="50">
        <v>0</v>
      </c>
    </row>
    <row r="256" spans="1:7" x14ac:dyDescent="0.25">
      <c r="A256" s="50">
        <v>27</v>
      </c>
      <c r="B256" s="50" t="s">
        <v>44</v>
      </c>
      <c r="C256" s="50" t="s">
        <v>51</v>
      </c>
      <c r="D256" s="50" t="s">
        <v>484</v>
      </c>
      <c r="E256" s="50">
        <v>5</v>
      </c>
      <c r="F256" s="50">
        <v>9</v>
      </c>
      <c r="G256" s="50">
        <v>-4</v>
      </c>
    </row>
    <row r="257" spans="1:7" x14ac:dyDescent="0.25">
      <c r="A257" s="50">
        <v>317</v>
      </c>
      <c r="B257" s="50" t="s">
        <v>35</v>
      </c>
      <c r="C257" s="50" t="s">
        <v>143</v>
      </c>
      <c r="D257" s="50" t="s">
        <v>133</v>
      </c>
      <c r="E257" s="50">
        <v>1</v>
      </c>
      <c r="F257" s="50">
        <v>1</v>
      </c>
      <c r="G257" s="50">
        <v>0</v>
      </c>
    </row>
    <row r="258" spans="1:7" x14ac:dyDescent="0.25">
      <c r="A258" s="50">
        <v>2758</v>
      </c>
      <c r="B258" s="50" t="s">
        <v>38</v>
      </c>
      <c r="C258" s="50" t="s">
        <v>572</v>
      </c>
      <c r="D258" s="50" t="s">
        <v>59</v>
      </c>
      <c r="E258" s="50">
        <v>3</v>
      </c>
      <c r="F258" s="50">
        <v>3</v>
      </c>
      <c r="G258" s="50">
        <v>0</v>
      </c>
    </row>
    <row r="259" spans="1:7" x14ac:dyDescent="0.25">
      <c r="A259" s="50">
        <v>2774</v>
      </c>
      <c r="B259" s="50" t="s">
        <v>44</v>
      </c>
      <c r="C259" s="50" t="s">
        <v>599</v>
      </c>
      <c r="D259" s="50" t="s">
        <v>40</v>
      </c>
      <c r="E259" s="50">
        <v>1</v>
      </c>
      <c r="F259" s="50">
        <v>2</v>
      </c>
      <c r="G259" s="50">
        <v>-1</v>
      </c>
    </row>
    <row r="260" spans="1:7" x14ac:dyDescent="0.25">
      <c r="A260" s="50">
        <v>626</v>
      </c>
      <c r="B260" s="50" t="s">
        <v>44</v>
      </c>
      <c r="C260" s="50" t="s">
        <v>243</v>
      </c>
      <c r="D260" s="50" t="s">
        <v>490</v>
      </c>
      <c r="E260" s="50">
        <v>1</v>
      </c>
      <c r="F260" s="50">
        <v>3</v>
      </c>
      <c r="G260" s="50">
        <v>-2</v>
      </c>
    </row>
    <row r="261" spans="1:7" x14ac:dyDescent="0.25">
      <c r="A261" s="50">
        <v>402</v>
      </c>
      <c r="B261" s="50" t="s">
        <v>44</v>
      </c>
      <c r="C261" s="50" t="s">
        <v>179</v>
      </c>
      <c r="D261" s="50" t="s">
        <v>62</v>
      </c>
      <c r="E261" s="50">
        <v>10</v>
      </c>
      <c r="F261" s="50">
        <v>15</v>
      </c>
      <c r="G261" s="50">
        <v>-5</v>
      </c>
    </row>
    <row r="262" spans="1:7" x14ac:dyDescent="0.25">
      <c r="A262" s="50">
        <v>2146</v>
      </c>
      <c r="B262" s="50" t="s">
        <v>49</v>
      </c>
      <c r="C262" s="50" t="s">
        <v>354</v>
      </c>
      <c r="D262" s="50" t="s">
        <v>46</v>
      </c>
      <c r="E262" s="50">
        <v>6</v>
      </c>
      <c r="F262" s="50">
        <v>6</v>
      </c>
      <c r="G262" s="50">
        <v>0</v>
      </c>
    </row>
    <row r="263" spans="1:7" x14ac:dyDescent="0.25">
      <c r="A263" s="50">
        <v>2754</v>
      </c>
      <c r="B263" s="50" t="s">
        <v>38</v>
      </c>
      <c r="C263" s="50" t="s">
        <v>573</v>
      </c>
      <c r="D263" s="50" t="s">
        <v>37</v>
      </c>
      <c r="E263" s="50">
        <v>3</v>
      </c>
      <c r="F263" s="50">
        <v>3</v>
      </c>
      <c r="G263" s="50">
        <v>0</v>
      </c>
    </row>
    <row r="264" spans="1:7" x14ac:dyDescent="0.25">
      <c r="A264" s="50">
        <v>250</v>
      </c>
      <c r="B264" s="50" t="s">
        <v>35</v>
      </c>
      <c r="C264" s="50" t="s">
        <v>118</v>
      </c>
      <c r="D264" s="50" t="s">
        <v>96</v>
      </c>
      <c r="E264" s="50">
        <v>16</v>
      </c>
      <c r="F264" s="50">
        <v>16</v>
      </c>
      <c r="G264" s="50">
        <v>0</v>
      </c>
    </row>
    <row r="265" spans="1:7" x14ac:dyDescent="0.25">
      <c r="A265" s="50">
        <v>2130</v>
      </c>
      <c r="B265" s="50" t="s">
        <v>38</v>
      </c>
      <c r="C265" s="50" t="s">
        <v>351</v>
      </c>
      <c r="D265" s="50" t="s">
        <v>43</v>
      </c>
      <c r="E265" s="50">
        <v>13</v>
      </c>
      <c r="F265" s="50">
        <v>8</v>
      </c>
      <c r="G265" s="50">
        <v>5</v>
      </c>
    </row>
    <row r="266" spans="1:7" x14ac:dyDescent="0.25">
      <c r="A266" s="50">
        <v>615</v>
      </c>
      <c r="B266" s="50" t="s">
        <v>38</v>
      </c>
      <c r="C266" s="50" t="s">
        <v>241</v>
      </c>
      <c r="D266" s="50" t="s">
        <v>54</v>
      </c>
      <c r="E266" s="50">
        <v>6</v>
      </c>
      <c r="F266" s="50">
        <v>7</v>
      </c>
      <c r="G266" s="50">
        <v>-1</v>
      </c>
    </row>
    <row r="267" spans="1:7" x14ac:dyDescent="0.25">
      <c r="A267" s="50">
        <v>115</v>
      </c>
      <c r="B267" s="50" t="s">
        <v>44</v>
      </c>
      <c r="C267" s="50" t="s">
        <v>76</v>
      </c>
      <c r="D267" s="50" t="s">
        <v>69</v>
      </c>
      <c r="E267" s="50">
        <v>6</v>
      </c>
      <c r="F267" s="50">
        <v>6</v>
      </c>
      <c r="G267" s="50">
        <v>0</v>
      </c>
    </row>
    <row r="268" spans="1:7" x14ac:dyDescent="0.25">
      <c r="A268" s="50">
        <v>583</v>
      </c>
      <c r="B268" s="50" t="s">
        <v>38</v>
      </c>
      <c r="C268" s="50" t="s">
        <v>234</v>
      </c>
      <c r="D268" s="50" t="s">
        <v>67</v>
      </c>
      <c r="E268" s="50">
        <v>2</v>
      </c>
      <c r="F268" s="50">
        <v>2</v>
      </c>
      <c r="G268" s="50">
        <v>0</v>
      </c>
    </row>
    <row r="269" spans="1:7" x14ac:dyDescent="0.25">
      <c r="A269" s="50">
        <v>408</v>
      </c>
      <c r="B269" s="50" t="s">
        <v>49</v>
      </c>
      <c r="C269" s="50" t="s">
        <v>182</v>
      </c>
      <c r="D269" s="50" t="s">
        <v>40</v>
      </c>
      <c r="E269" s="50">
        <v>26</v>
      </c>
      <c r="F269" s="50">
        <v>33</v>
      </c>
      <c r="G269" s="50">
        <v>-7</v>
      </c>
    </row>
    <row r="270" spans="1:7" x14ac:dyDescent="0.25">
      <c r="A270" s="50">
        <v>433</v>
      </c>
      <c r="B270" s="50" t="s">
        <v>44</v>
      </c>
      <c r="C270" s="50" t="s">
        <v>188</v>
      </c>
      <c r="D270" s="50" t="s">
        <v>59</v>
      </c>
      <c r="E270" s="50">
        <v>7</v>
      </c>
      <c r="F270" s="50">
        <v>6</v>
      </c>
      <c r="G270" s="50">
        <v>1</v>
      </c>
    </row>
    <row r="271" spans="1:7" x14ac:dyDescent="0.25">
      <c r="A271" s="50">
        <v>2312</v>
      </c>
      <c r="B271" s="50" t="s">
        <v>38</v>
      </c>
      <c r="C271" s="50" t="s">
        <v>420</v>
      </c>
      <c r="D271" s="50" t="s">
        <v>37</v>
      </c>
      <c r="E271" s="50">
        <v>1</v>
      </c>
      <c r="F271" s="50">
        <v>1</v>
      </c>
      <c r="G271" s="50">
        <v>0</v>
      </c>
    </row>
    <row r="272" spans="1:7" x14ac:dyDescent="0.25">
      <c r="A272" s="50">
        <v>140</v>
      </c>
      <c r="B272" s="50" t="s">
        <v>38</v>
      </c>
      <c r="C272" s="50" t="s">
        <v>85</v>
      </c>
      <c r="D272" s="50" t="s">
        <v>62</v>
      </c>
      <c r="E272" s="50">
        <v>8</v>
      </c>
      <c r="F272" s="50">
        <v>9</v>
      </c>
      <c r="G272" s="50">
        <v>-1</v>
      </c>
    </row>
    <row r="273" spans="1:7" x14ac:dyDescent="0.25">
      <c r="A273" s="50">
        <v>2862</v>
      </c>
      <c r="B273" s="50" t="s">
        <v>35</v>
      </c>
      <c r="C273" s="50" t="s">
        <v>615</v>
      </c>
      <c r="D273" s="50" t="s">
        <v>490</v>
      </c>
      <c r="E273" s="50">
        <v>1</v>
      </c>
      <c r="F273" s="50">
        <v>1</v>
      </c>
      <c r="G273" s="50">
        <v>0</v>
      </c>
    </row>
    <row r="274" spans="1:7" x14ac:dyDescent="0.25">
      <c r="A274" s="50">
        <v>2801</v>
      </c>
      <c r="B274" s="50" t="s">
        <v>38</v>
      </c>
      <c r="C274" s="50" t="s">
        <v>588</v>
      </c>
      <c r="D274" s="50" t="s">
        <v>484</v>
      </c>
      <c r="E274" s="50">
        <v>7</v>
      </c>
      <c r="F274" s="50">
        <v>2</v>
      </c>
      <c r="G274" s="50">
        <v>5</v>
      </c>
    </row>
    <row r="275" spans="1:7" x14ac:dyDescent="0.25">
      <c r="A275" s="50">
        <v>475</v>
      </c>
      <c r="B275" s="50" t="s">
        <v>49</v>
      </c>
      <c r="C275" s="50" t="s">
        <v>200</v>
      </c>
      <c r="D275" s="50" t="s">
        <v>108</v>
      </c>
      <c r="E275" s="50">
        <v>23</v>
      </c>
      <c r="F275" s="50">
        <v>25</v>
      </c>
      <c r="G275" s="50">
        <v>-2</v>
      </c>
    </row>
    <row r="276" spans="1:7" x14ac:dyDescent="0.25">
      <c r="A276" s="50">
        <v>4331</v>
      </c>
      <c r="B276" s="50" t="s">
        <v>38</v>
      </c>
      <c r="C276" s="50" t="s">
        <v>656</v>
      </c>
      <c r="D276" s="50" t="s">
        <v>43</v>
      </c>
      <c r="E276" s="50">
        <v>2</v>
      </c>
      <c r="F276" s="50">
        <v>2</v>
      </c>
      <c r="G276" s="50">
        <v>0</v>
      </c>
    </row>
    <row r="277" spans="1:7" x14ac:dyDescent="0.25">
      <c r="A277" s="50">
        <v>277</v>
      </c>
      <c r="B277" s="50" t="s">
        <v>49</v>
      </c>
      <c r="C277" s="50" t="s">
        <v>128</v>
      </c>
      <c r="D277" s="50" t="s">
        <v>96</v>
      </c>
      <c r="E277" s="50">
        <v>31</v>
      </c>
      <c r="F277" s="50">
        <v>39</v>
      </c>
      <c r="G277" s="50">
        <v>-8</v>
      </c>
    </row>
    <row r="278" spans="1:7" x14ac:dyDescent="0.25">
      <c r="A278" s="50">
        <v>542</v>
      </c>
      <c r="B278" s="50" t="s">
        <v>35</v>
      </c>
      <c r="C278" s="50" t="s">
        <v>221</v>
      </c>
      <c r="D278" s="50" t="s">
        <v>108</v>
      </c>
      <c r="E278" s="50">
        <v>3</v>
      </c>
      <c r="F278" s="50">
        <v>1</v>
      </c>
      <c r="G278" s="50">
        <v>2</v>
      </c>
    </row>
    <row r="279" spans="1:7" x14ac:dyDescent="0.25">
      <c r="A279" s="50">
        <v>177</v>
      </c>
      <c r="B279" s="50" t="s">
        <v>44</v>
      </c>
      <c r="C279" s="50" t="s">
        <v>99</v>
      </c>
      <c r="D279" s="50" t="s">
        <v>43</v>
      </c>
      <c r="E279" s="50">
        <v>21</v>
      </c>
      <c r="F279" s="50">
        <v>26</v>
      </c>
      <c r="G279" s="50">
        <v>-5</v>
      </c>
    </row>
    <row r="280" spans="1:7" x14ac:dyDescent="0.25">
      <c r="A280" s="50">
        <v>785</v>
      </c>
      <c r="B280" s="50" t="s">
        <v>49</v>
      </c>
      <c r="C280" s="50" t="s">
        <v>271</v>
      </c>
      <c r="D280" s="50" t="s">
        <v>133</v>
      </c>
      <c r="E280" s="50">
        <v>35</v>
      </c>
      <c r="F280" s="50">
        <v>41</v>
      </c>
      <c r="G280" s="50">
        <v>-6</v>
      </c>
    </row>
    <row r="281" spans="1:7" x14ac:dyDescent="0.25">
      <c r="A281" s="50">
        <v>2838</v>
      </c>
      <c r="B281" s="50" t="s">
        <v>38</v>
      </c>
      <c r="C281" s="50" t="s">
        <v>689</v>
      </c>
      <c r="D281" s="50" t="s">
        <v>483</v>
      </c>
      <c r="E281" s="50">
        <v>1</v>
      </c>
      <c r="F281" s="50">
        <v>1</v>
      </c>
      <c r="G281" s="50">
        <v>0</v>
      </c>
    </row>
    <row r="282" spans="1:7" x14ac:dyDescent="0.25">
      <c r="A282" s="50">
        <v>2191</v>
      </c>
      <c r="B282" s="50" t="s">
        <v>44</v>
      </c>
      <c r="C282" s="50" t="s">
        <v>376</v>
      </c>
      <c r="D282" s="50" t="s">
        <v>67</v>
      </c>
      <c r="E282" s="50">
        <v>1</v>
      </c>
      <c r="F282" s="50">
        <v>1</v>
      </c>
      <c r="G282" s="50">
        <v>0</v>
      </c>
    </row>
    <row r="283" spans="1:7" x14ac:dyDescent="0.25">
      <c r="A283" s="50">
        <v>123</v>
      </c>
      <c r="B283" s="50" t="s">
        <v>49</v>
      </c>
      <c r="C283" s="50" t="s">
        <v>79</v>
      </c>
      <c r="D283" s="50" t="s">
        <v>484</v>
      </c>
      <c r="E283" s="50">
        <v>19</v>
      </c>
      <c r="F283" s="50">
        <v>13</v>
      </c>
      <c r="G283" s="50">
        <v>6</v>
      </c>
    </row>
    <row r="284" spans="1:7" x14ac:dyDescent="0.25">
      <c r="A284" s="50">
        <v>409</v>
      </c>
      <c r="B284" s="50" t="s">
        <v>49</v>
      </c>
      <c r="C284" s="50" t="s">
        <v>183</v>
      </c>
      <c r="D284" s="50" t="s">
        <v>62</v>
      </c>
      <c r="E284" s="50">
        <v>25</v>
      </c>
      <c r="F284" s="50">
        <v>27</v>
      </c>
      <c r="G284" s="50">
        <v>-2</v>
      </c>
    </row>
    <row r="285" spans="1:7" x14ac:dyDescent="0.25">
      <c r="A285" s="50">
        <v>627</v>
      </c>
      <c r="B285" s="50" t="s">
        <v>44</v>
      </c>
      <c r="C285" s="50" t="s">
        <v>244</v>
      </c>
      <c r="D285" s="50" t="s">
        <v>46</v>
      </c>
      <c r="E285" s="50">
        <v>10</v>
      </c>
      <c r="F285" s="50">
        <v>9</v>
      </c>
      <c r="G285" s="50">
        <v>1</v>
      </c>
    </row>
    <row r="286" spans="1:7" x14ac:dyDescent="0.25">
      <c r="A286" s="50">
        <v>226</v>
      </c>
      <c r="B286" s="50" t="s">
        <v>38</v>
      </c>
      <c r="C286" s="50" t="s">
        <v>110</v>
      </c>
      <c r="D286" s="50" t="s">
        <v>108</v>
      </c>
      <c r="E286" s="50">
        <v>12</v>
      </c>
      <c r="F286" s="50">
        <v>9</v>
      </c>
      <c r="G286" s="50">
        <v>3</v>
      </c>
    </row>
    <row r="287" spans="1:7" x14ac:dyDescent="0.25">
      <c r="A287" s="50">
        <v>2152</v>
      </c>
      <c r="B287" s="50" t="s">
        <v>49</v>
      </c>
      <c r="C287" s="50" t="s">
        <v>644</v>
      </c>
      <c r="D287" s="50" t="s">
        <v>483</v>
      </c>
      <c r="E287" s="50">
        <v>1</v>
      </c>
      <c r="F287" s="50">
        <v>1</v>
      </c>
      <c r="G287" s="50">
        <v>0</v>
      </c>
    </row>
    <row r="288" spans="1:7" x14ac:dyDescent="0.25">
      <c r="A288" s="50">
        <v>4325</v>
      </c>
      <c r="B288" s="50" t="s">
        <v>35</v>
      </c>
      <c r="C288" s="50" t="s">
        <v>657</v>
      </c>
      <c r="D288" s="50" t="s">
        <v>59</v>
      </c>
      <c r="E288" s="50">
        <v>2</v>
      </c>
      <c r="F288" s="50">
        <v>2</v>
      </c>
      <c r="G288" s="50">
        <v>0</v>
      </c>
    </row>
    <row r="289" spans="1:7" x14ac:dyDescent="0.25">
      <c r="A289" s="50">
        <v>4338</v>
      </c>
      <c r="B289" s="50" t="s">
        <v>44</v>
      </c>
      <c r="C289" s="50" t="s">
        <v>658</v>
      </c>
      <c r="D289" s="50" t="s">
        <v>41</v>
      </c>
      <c r="E289" s="50">
        <v>6</v>
      </c>
      <c r="F289" s="50">
        <v>6</v>
      </c>
      <c r="G289" s="50">
        <v>0</v>
      </c>
    </row>
    <row r="290" spans="1:7" x14ac:dyDescent="0.25">
      <c r="A290" s="50">
        <v>1987</v>
      </c>
      <c r="B290" s="50" t="s">
        <v>44</v>
      </c>
      <c r="C290" s="50" t="s">
        <v>319</v>
      </c>
      <c r="D290" s="50" t="s">
        <v>98</v>
      </c>
      <c r="E290" s="50">
        <v>8</v>
      </c>
      <c r="F290" s="50">
        <v>15</v>
      </c>
      <c r="G290" s="50">
        <v>-7</v>
      </c>
    </row>
    <row r="291" spans="1:7" x14ac:dyDescent="0.25">
      <c r="A291" s="50">
        <v>2208</v>
      </c>
      <c r="B291" s="50" t="s">
        <v>38</v>
      </c>
      <c r="C291" s="50" t="s">
        <v>388</v>
      </c>
      <c r="D291" s="50" t="s">
        <v>69</v>
      </c>
      <c r="E291" s="50">
        <v>4</v>
      </c>
      <c r="F291" s="50">
        <v>5</v>
      </c>
      <c r="G291" s="50">
        <v>-1</v>
      </c>
    </row>
    <row r="292" spans="1:7" x14ac:dyDescent="0.25">
      <c r="A292" s="50">
        <v>2078</v>
      </c>
      <c r="B292" s="50" t="s">
        <v>44</v>
      </c>
      <c r="C292" s="50" t="s">
        <v>452</v>
      </c>
      <c r="D292" s="50" t="s">
        <v>96</v>
      </c>
      <c r="E292" s="50">
        <v>7</v>
      </c>
      <c r="F292" s="50">
        <v>3</v>
      </c>
      <c r="G292" s="50">
        <v>4</v>
      </c>
    </row>
    <row r="293" spans="1:7" x14ac:dyDescent="0.25">
      <c r="A293" s="50">
        <v>1874</v>
      </c>
      <c r="B293" s="50" t="s">
        <v>44</v>
      </c>
      <c r="C293" s="50" t="s">
        <v>298</v>
      </c>
      <c r="D293" s="50" t="s">
        <v>46</v>
      </c>
      <c r="E293" s="50">
        <v>15</v>
      </c>
      <c r="F293" s="50">
        <v>13</v>
      </c>
      <c r="G293" s="50">
        <v>2</v>
      </c>
    </row>
    <row r="294" spans="1:7" x14ac:dyDescent="0.25">
      <c r="A294" s="50">
        <v>256</v>
      </c>
      <c r="B294" s="50" t="s">
        <v>38</v>
      </c>
      <c r="C294" s="50" t="s">
        <v>122</v>
      </c>
      <c r="D294" s="50" t="s">
        <v>84</v>
      </c>
      <c r="E294" s="50">
        <v>7</v>
      </c>
      <c r="F294" s="50">
        <v>7</v>
      </c>
      <c r="G294" s="50">
        <v>0</v>
      </c>
    </row>
    <row r="295" spans="1:7" x14ac:dyDescent="0.25">
      <c r="A295" s="50">
        <v>2797</v>
      </c>
      <c r="B295" s="50" t="s">
        <v>38</v>
      </c>
      <c r="C295" s="50" t="s">
        <v>569</v>
      </c>
      <c r="D295" s="50" t="s">
        <v>98</v>
      </c>
      <c r="E295" s="50">
        <v>2</v>
      </c>
      <c r="F295" s="50">
        <v>3</v>
      </c>
      <c r="G295" s="50">
        <v>-1</v>
      </c>
    </row>
    <row r="296" spans="1:7" x14ac:dyDescent="0.25">
      <c r="A296" s="50">
        <v>652</v>
      </c>
      <c r="B296" s="50" t="s">
        <v>49</v>
      </c>
      <c r="C296" s="50" t="s">
        <v>253</v>
      </c>
      <c r="D296" s="50" t="s">
        <v>40</v>
      </c>
      <c r="E296" s="50">
        <v>15</v>
      </c>
      <c r="F296" s="50">
        <v>15</v>
      </c>
      <c r="G296" s="50">
        <v>0</v>
      </c>
    </row>
    <row r="297" spans="1:7" x14ac:dyDescent="0.25">
      <c r="A297" s="50">
        <v>2325</v>
      </c>
      <c r="B297" s="50" t="s">
        <v>49</v>
      </c>
      <c r="C297" s="50" t="s">
        <v>425</v>
      </c>
      <c r="D297" s="50" t="s">
        <v>96</v>
      </c>
      <c r="E297" s="50">
        <v>8</v>
      </c>
      <c r="F297" s="50">
        <v>9</v>
      </c>
      <c r="G297" s="50">
        <v>-1</v>
      </c>
    </row>
    <row r="298" spans="1:7" x14ac:dyDescent="0.25">
      <c r="A298" s="50">
        <v>570</v>
      </c>
      <c r="B298" s="50" t="s">
        <v>35</v>
      </c>
      <c r="C298" s="50" t="s">
        <v>453</v>
      </c>
      <c r="D298" s="50" t="s">
        <v>62</v>
      </c>
      <c r="E298" s="50">
        <v>4</v>
      </c>
      <c r="F298" s="50">
        <v>1</v>
      </c>
      <c r="G298" s="50">
        <v>3</v>
      </c>
    </row>
    <row r="299" spans="1:7" x14ac:dyDescent="0.25">
      <c r="A299" s="50">
        <v>2180</v>
      </c>
      <c r="B299" s="50" t="s">
        <v>38</v>
      </c>
      <c r="C299" s="50" t="s">
        <v>371</v>
      </c>
      <c r="D299" s="50" t="s">
        <v>84</v>
      </c>
      <c r="E299" s="50">
        <v>3</v>
      </c>
      <c r="F299" s="50">
        <v>6</v>
      </c>
      <c r="G299" s="50">
        <v>-3</v>
      </c>
    </row>
    <row r="300" spans="1:7" x14ac:dyDescent="0.25">
      <c r="A300" s="50">
        <v>2850</v>
      </c>
      <c r="B300" s="50" t="s">
        <v>44</v>
      </c>
      <c r="C300" s="50" t="s">
        <v>631</v>
      </c>
      <c r="D300" s="50" t="s">
        <v>67</v>
      </c>
      <c r="E300" s="50">
        <v>1</v>
      </c>
      <c r="F300" s="50">
        <v>1</v>
      </c>
      <c r="G300" s="50">
        <v>0</v>
      </c>
    </row>
    <row r="301" spans="1:7" x14ac:dyDescent="0.25">
      <c r="A301" s="50">
        <v>2097</v>
      </c>
      <c r="B301" s="50" t="s">
        <v>49</v>
      </c>
      <c r="C301" s="50" t="s">
        <v>345</v>
      </c>
      <c r="D301" s="50" t="s">
        <v>104</v>
      </c>
      <c r="E301" s="50">
        <v>3</v>
      </c>
      <c r="F301" s="50">
        <v>7</v>
      </c>
      <c r="G301" s="50">
        <v>-4</v>
      </c>
    </row>
    <row r="302" spans="1:7" x14ac:dyDescent="0.25">
      <c r="A302" s="50">
        <v>345</v>
      </c>
      <c r="B302" s="50" t="s">
        <v>49</v>
      </c>
      <c r="C302" s="50" t="s">
        <v>454</v>
      </c>
      <c r="D302" s="50" t="s">
        <v>96</v>
      </c>
      <c r="E302" s="50">
        <v>19</v>
      </c>
      <c r="F302" s="50">
        <v>19</v>
      </c>
      <c r="G302" s="50">
        <v>0</v>
      </c>
    </row>
    <row r="303" spans="1:7" x14ac:dyDescent="0.25">
      <c r="A303" s="50">
        <v>1850</v>
      </c>
      <c r="B303" s="50" t="s">
        <v>44</v>
      </c>
      <c r="C303" s="50" t="s">
        <v>285</v>
      </c>
      <c r="D303" s="50" t="s">
        <v>40</v>
      </c>
      <c r="E303" s="50">
        <v>12</v>
      </c>
      <c r="F303" s="50">
        <v>11</v>
      </c>
      <c r="G303" s="50">
        <v>1</v>
      </c>
    </row>
    <row r="304" spans="1:7" x14ac:dyDescent="0.25">
      <c r="A304" s="50">
        <v>299</v>
      </c>
      <c r="B304" s="50" t="s">
        <v>44</v>
      </c>
      <c r="C304" s="50" t="s">
        <v>137</v>
      </c>
      <c r="D304" s="50" t="s">
        <v>104</v>
      </c>
      <c r="E304" s="50">
        <v>13</v>
      </c>
      <c r="F304" s="50">
        <v>18</v>
      </c>
      <c r="G304" s="50">
        <v>-5</v>
      </c>
    </row>
    <row r="305" spans="1:7" x14ac:dyDescent="0.25">
      <c r="A305" s="50">
        <v>2835</v>
      </c>
      <c r="B305" s="50" t="s">
        <v>44</v>
      </c>
      <c r="C305" s="50" t="s">
        <v>690</v>
      </c>
      <c r="D305" s="50" t="s">
        <v>54</v>
      </c>
      <c r="E305" s="50">
        <v>1</v>
      </c>
      <c r="F305" s="50">
        <v>1</v>
      </c>
      <c r="G305" s="50">
        <v>0</v>
      </c>
    </row>
    <row r="306" spans="1:7" x14ac:dyDescent="0.25">
      <c r="A306" s="50">
        <v>2107</v>
      </c>
      <c r="B306" s="50" t="s">
        <v>44</v>
      </c>
      <c r="C306" s="50" t="s">
        <v>455</v>
      </c>
      <c r="D306" s="50" t="s">
        <v>69</v>
      </c>
      <c r="E306" s="50">
        <v>4</v>
      </c>
      <c r="F306" s="50">
        <v>3</v>
      </c>
      <c r="G306" s="50">
        <v>1</v>
      </c>
    </row>
    <row r="307" spans="1:7" x14ac:dyDescent="0.25">
      <c r="A307" s="50">
        <v>2871</v>
      </c>
      <c r="B307" s="50" t="s">
        <v>38</v>
      </c>
      <c r="C307" s="50" t="s">
        <v>517</v>
      </c>
      <c r="D307" s="50" t="s">
        <v>46</v>
      </c>
      <c r="E307" s="50">
        <v>6</v>
      </c>
      <c r="F307" s="50">
        <v>7</v>
      </c>
      <c r="G307" s="50">
        <v>-1</v>
      </c>
    </row>
    <row r="308" spans="1:7" x14ac:dyDescent="0.25">
      <c r="A308" s="50">
        <v>2779</v>
      </c>
      <c r="B308" s="50" t="s">
        <v>49</v>
      </c>
      <c r="C308" s="50" t="s">
        <v>473</v>
      </c>
      <c r="D308" s="50" t="s">
        <v>84</v>
      </c>
      <c r="E308" s="50">
        <v>14</v>
      </c>
      <c r="F308" s="50">
        <v>18</v>
      </c>
      <c r="G308" s="50">
        <v>-4</v>
      </c>
    </row>
    <row r="309" spans="1:7" x14ac:dyDescent="0.25">
      <c r="A309" s="50">
        <v>2214</v>
      </c>
      <c r="B309" s="50" t="s">
        <v>38</v>
      </c>
      <c r="C309" s="50" t="s">
        <v>393</v>
      </c>
      <c r="D309" s="50" t="s">
        <v>84</v>
      </c>
      <c r="E309" s="50">
        <v>18</v>
      </c>
      <c r="F309" s="50">
        <v>17</v>
      </c>
      <c r="G309" s="50">
        <v>1</v>
      </c>
    </row>
    <row r="310" spans="1:7" x14ac:dyDescent="0.25">
      <c r="A310" s="50">
        <v>2216</v>
      </c>
      <c r="B310" s="50" t="s">
        <v>38</v>
      </c>
      <c r="C310" s="50" t="s">
        <v>395</v>
      </c>
      <c r="D310" s="50" t="s">
        <v>41</v>
      </c>
      <c r="E310" s="50">
        <v>1</v>
      </c>
      <c r="F310" s="50">
        <v>1</v>
      </c>
      <c r="G310" s="50">
        <v>0</v>
      </c>
    </row>
    <row r="311" spans="1:7" x14ac:dyDescent="0.25">
      <c r="A311" s="50">
        <v>2811</v>
      </c>
      <c r="B311" s="50" t="s">
        <v>44</v>
      </c>
      <c r="C311" s="50" t="s">
        <v>691</v>
      </c>
      <c r="D311" s="50" t="s">
        <v>490</v>
      </c>
      <c r="E311" s="50">
        <v>2</v>
      </c>
      <c r="F311" s="50">
        <v>2</v>
      </c>
      <c r="G311" s="50">
        <v>0</v>
      </c>
    </row>
    <row r="312" spans="1:7" x14ac:dyDescent="0.25">
      <c r="A312" s="50">
        <v>2762</v>
      </c>
      <c r="B312" s="50" t="s">
        <v>49</v>
      </c>
      <c r="C312" s="50" t="s">
        <v>585</v>
      </c>
      <c r="D312" s="50" t="s">
        <v>59</v>
      </c>
      <c r="E312" s="50">
        <v>12</v>
      </c>
      <c r="F312" s="50">
        <v>3</v>
      </c>
      <c r="G312" s="50">
        <v>9</v>
      </c>
    </row>
    <row r="313" spans="1:7" x14ac:dyDescent="0.25">
      <c r="A313" s="50">
        <v>392</v>
      </c>
      <c r="B313" s="50" t="s">
        <v>38</v>
      </c>
      <c r="C313" s="50" t="s">
        <v>176</v>
      </c>
      <c r="D313" s="50" t="s">
        <v>62</v>
      </c>
      <c r="E313" s="50">
        <v>15</v>
      </c>
      <c r="F313" s="50">
        <v>17</v>
      </c>
      <c r="G313" s="50">
        <v>-2</v>
      </c>
    </row>
    <row r="314" spans="1:7" x14ac:dyDescent="0.25">
      <c r="A314" s="50">
        <v>2198</v>
      </c>
      <c r="B314" s="50" t="s">
        <v>49</v>
      </c>
      <c r="C314" s="50" t="s">
        <v>383</v>
      </c>
      <c r="D314" s="50" t="s">
        <v>98</v>
      </c>
      <c r="E314" s="50">
        <v>7</v>
      </c>
      <c r="F314" s="50">
        <v>11</v>
      </c>
      <c r="G314" s="50">
        <v>-4</v>
      </c>
    </row>
    <row r="315" spans="1:7" x14ac:dyDescent="0.25">
      <c r="A315" s="50">
        <v>663</v>
      </c>
      <c r="B315" s="50" t="s">
        <v>38</v>
      </c>
      <c r="C315" s="50" t="s">
        <v>255</v>
      </c>
      <c r="D315" s="50" t="s">
        <v>54</v>
      </c>
      <c r="E315" s="50">
        <v>3</v>
      </c>
      <c r="F315" s="50">
        <v>3</v>
      </c>
      <c r="G315" s="50">
        <v>0</v>
      </c>
    </row>
    <row r="316" spans="1:7" x14ac:dyDescent="0.25">
      <c r="A316" s="50">
        <v>1867</v>
      </c>
      <c r="B316" s="50" t="s">
        <v>38</v>
      </c>
      <c r="C316" s="50" t="s">
        <v>558</v>
      </c>
      <c r="D316" s="50" t="s">
        <v>490</v>
      </c>
      <c r="E316" s="50">
        <v>2</v>
      </c>
      <c r="F316" s="50">
        <v>4</v>
      </c>
      <c r="G316" s="50">
        <v>-2</v>
      </c>
    </row>
    <row r="317" spans="1:7" x14ac:dyDescent="0.25">
      <c r="A317" s="50">
        <v>1858</v>
      </c>
      <c r="B317" s="50" t="s">
        <v>44</v>
      </c>
      <c r="C317" s="50" t="s">
        <v>288</v>
      </c>
      <c r="D317" s="50" t="s">
        <v>54</v>
      </c>
      <c r="E317" s="50">
        <v>4</v>
      </c>
      <c r="F317" s="50">
        <v>5</v>
      </c>
      <c r="G317" s="50">
        <v>-1</v>
      </c>
    </row>
    <row r="318" spans="1:7" x14ac:dyDescent="0.25">
      <c r="A318" s="50">
        <v>148</v>
      </c>
      <c r="B318" s="50" t="s">
        <v>44</v>
      </c>
      <c r="C318" s="50" t="s">
        <v>508</v>
      </c>
      <c r="D318" s="50" t="s">
        <v>483</v>
      </c>
      <c r="E318" s="50">
        <v>12</v>
      </c>
      <c r="F318" s="50">
        <v>9</v>
      </c>
      <c r="G318" s="50">
        <v>3</v>
      </c>
    </row>
    <row r="319" spans="1:7" x14ac:dyDescent="0.25">
      <c r="A319" s="50">
        <v>234</v>
      </c>
      <c r="B319" s="50" t="s">
        <v>44</v>
      </c>
      <c r="C319" s="50" t="s">
        <v>659</v>
      </c>
      <c r="D319" s="50" t="s">
        <v>484</v>
      </c>
      <c r="E319" s="50">
        <v>9</v>
      </c>
      <c r="F319" s="50">
        <v>9</v>
      </c>
      <c r="G319" s="50">
        <v>0</v>
      </c>
    </row>
    <row r="320" spans="1:7" x14ac:dyDescent="0.25">
      <c r="A320" s="50">
        <v>2833</v>
      </c>
      <c r="B320" s="50" t="s">
        <v>44</v>
      </c>
      <c r="C320" s="50" t="s">
        <v>623</v>
      </c>
      <c r="D320" s="50" t="s">
        <v>43</v>
      </c>
      <c r="E320" s="50">
        <v>2</v>
      </c>
      <c r="F320" s="50">
        <v>1</v>
      </c>
      <c r="G320" s="50">
        <v>1</v>
      </c>
    </row>
    <row r="321" spans="1:7" x14ac:dyDescent="0.25">
      <c r="A321" s="50">
        <v>28</v>
      </c>
      <c r="B321" s="50" t="s">
        <v>44</v>
      </c>
      <c r="C321" s="50" t="s">
        <v>52</v>
      </c>
      <c r="D321" s="50" t="s">
        <v>41</v>
      </c>
      <c r="E321" s="50">
        <v>11</v>
      </c>
      <c r="F321" s="50">
        <v>9</v>
      </c>
      <c r="G321" s="50">
        <v>2</v>
      </c>
    </row>
    <row r="322" spans="1:7" x14ac:dyDescent="0.25">
      <c r="A322" s="50">
        <v>447</v>
      </c>
      <c r="B322" s="50" t="s">
        <v>49</v>
      </c>
      <c r="C322" s="50" t="s">
        <v>494</v>
      </c>
      <c r="D322" s="50" t="s">
        <v>483</v>
      </c>
      <c r="E322" s="50">
        <v>11</v>
      </c>
      <c r="F322" s="50">
        <v>12</v>
      </c>
      <c r="G322" s="50">
        <v>-1</v>
      </c>
    </row>
    <row r="323" spans="1:7" x14ac:dyDescent="0.25">
      <c r="A323" s="50">
        <v>2387</v>
      </c>
      <c r="B323" s="50" t="s">
        <v>35</v>
      </c>
      <c r="C323" s="50" t="s">
        <v>501</v>
      </c>
      <c r="D323" s="50" t="s">
        <v>37</v>
      </c>
      <c r="E323" s="50">
        <v>11</v>
      </c>
      <c r="F323" s="50">
        <v>10</v>
      </c>
      <c r="G323" s="50">
        <v>1</v>
      </c>
    </row>
    <row r="324" spans="1:7" x14ac:dyDescent="0.25">
      <c r="A324" s="50">
        <v>2757</v>
      </c>
      <c r="B324" s="50" t="s">
        <v>38</v>
      </c>
      <c r="C324" s="50" t="s">
        <v>538</v>
      </c>
      <c r="D324" s="50" t="s">
        <v>59</v>
      </c>
      <c r="E324" s="50">
        <v>1</v>
      </c>
      <c r="F324" s="50">
        <v>5</v>
      </c>
      <c r="G324" s="50">
        <v>-4</v>
      </c>
    </row>
    <row r="325" spans="1:7" x14ac:dyDescent="0.25">
      <c r="A325" s="50">
        <v>1939</v>
      </c>
      <c r="B325" s="50" t="s">
        <v>49</v>
      </c>
      <c r="C325" s="50" t="s">
        <v>308</v>
      </c>
      <c r="D325" s="50" t="s">
        <v>59</v>
      </c>
      <c r="E325" s="50">
        <v>6</v>
      </c>
      <c r="F325" s="50">
        <v>12</v>
      </c>
      <c r="G325" s="50">
        <v>-6</v>
      </c>
    </row>
    <row r="326" spans="1:7" x14ac:dyDescent="0.25">
      <c r="A326" s="50">
        <v>90</v>
      </c>
      <c r="B326" s="50" t="s">
        <v>49</v>
      </c>
      <c r="C326" s="50" t="s">
        <v>66</v>
      </c>
      <c r="D326" s="50" t="s">
        <v>67</v>
      </c>
      <c r="E326" s="50">
        <v>15</v>
      </c>
      <c r="F326" s="50">
        <v>22</v>
      </c>
      <c r="G326" s="50">
        <v>-7</v>
      </c>
    </row>
    <row r="327" spans="1:7" x14ac:dyDescent="0.25">
      <c r="A327" s="50">
        <v>141</v>
      </c>
      <c r="B327" s="50" t="s">
        <v>38</v>
      </c>
      <c r="C327" s="50" t="s">
        <v>86</v>
      </c>
      <c r="D327" s="50" t="s">
        <v>37</v>
      </c>
      <c r="E327" s="50">
        <v>4</v>
      </c>
      <c r="F327" s="50">
        <v>3</v>
      </c>
      <c r="G327" s="50">
        <v>1</v>
      </c>
    </row>
    <row r="328" spans="1:7" x14ac:dyDescent="0.25">
      <c r="A328" s="50">
        <v>235</v>
      </c>
      <c r="B328" s="50" t="s">
        <v>44</v>
      </c>
      <c r="C328" s="50" t="s">
        <v>111</v>
      </c>
      <c r="D328" s="50" t="s">
        <v>40</v>
      </c>
      <c r="E328" s="50">
        <v>6</v>
      </c>
      <c r="F328" s="50">
        <v>9</v>
      </c>
      <c r="G328" s="50">
        <v>-3</v>
      </c>
    </row>
    <row r="329" spans="1:7" x14ac:dyDescent="0.25">
      <c r="A329" s="50">
        <v>236</v>
      </c>
      <c r="B329" s="50" t="s">
        <v>44</v>
      </c>
      <c r="C329" s="50" t="s">
        <v>112</v>
      </c>
      <c r="D329" s="50" t="s">
        <v>59</v>
      </c>
      <c r="E329" s="50">
        <v>11</v>
      </c>
      <c r="F329" s="50">
        <v>5</v>
      </c>
      <c r="G329" s="50">
        <v>6</v>
      </c>
    </row>
    <row r="330" spans="1:7" x14ac:dyDescent="0.25">
      <c r="A330" s="50">
        <v>2263</v>
      </c>
      <c r="B330" s="50" t="s">
        <v>44</v>
      </c>
      <c r="C330" s="50" t="s">
        <v>399</v>
      </c>
      <c r="D330" s="50" t="s">
        <v>41</v>
      </c>
      <c r="E330" s="50">
        <v>14</v>
      </c>
      <c r="F330" s="50">
        <v>10</v>
      </c>
      <c r="G330" s="50">
        <v>4</v>
      </c>
    </row>
    <row r="331" spans="1:7" x14ac:dyDescent="0.25">
      <c r="A331" s="50">
        <v>2594</v>
      </c>
      <c r="B331" s="50" t="s">
        <v>38</v>
      </c>
      <c r="C331" s="50" t="s">
        <v>432</v>
      </c>
      <c r="D331" s="50" t="s">
        <v>102</v>
      </c>
      <c r="E331" s="50">
        <v>3</v>
      </c>
      <c r="F331" s="50">
        <v>7</v>
      </c>
      <c r="G331" s="50">
        <v>-4</v>
      </c>
    </row>
    <row r="332" spans="1:7" x14ac:dyDescent="0.25">
      <c r="A332" s="50">
        <v>4330</v>
      </c>
      <c r="B332" s="50" t="s">
        <v>44</v>
      </c>
      <c r="C332" s="50" t="s">
        <v>660</v>
      </c>
      <c r="D332" s="50" t="s">
        <v>59</v>
      </c>
      <c r="E332" s="50">
        <v>6</v>
      </c>
      <c r="F332" s="50">
        <v>6</v>
      </c>
      <c r="G332" s="50">
        <v>0</v>
      </c>
    </row>
    <row r="333" spans="1:7" x14ac:dyDescent="0.25">
      <c r="A333" s="50">
        <v>2334</v>
      </c>
      <c r="B333" s="50" t="s">
        <v>49</v>
      </c>
      <c r="C333" s="50" t="s">
        <v>430</v>
      </c>
      <c r="D333" s="50" t="s">
        <v>69</v>
      </c>
      <c r="E333" s="50">
        <v>2</v>
      </c>
      <c r="F333" s="50">
        <v>1</v>
      </c>
      <c r="G333" s="50">
        <v>1</v>
      </c>
    </row>
    <row r="334" spans="1:7" x14ac:dyDescent="0.25">
      <c r="A334" s="50">
        <v>2015</v>
      </c>
      <c r="B334" s="50" t="s">
        <v>38</v>
      </c>
      <c r="C334" s="50" t="s">
        <v>331</v>
      </c>
      <c r="D334" s="50" t="s">
        <v>102</v>
      </c>
      <c r="E334" s="50">
        <v>3</v>
      </c>
      <c r="F334" s="50">
        <v>3</v>
      </c>
      <c r="G334" s="50">
        <v>0</v>
      </c>
    </row>
    <row r="335" spans="1:7" x14ac:dyDescent="0.25">
      <c r="A335" s="50">
        <v>2300</v>
      </c>
      <c r="B335" s="50" t="s">
        <v>38</v>
      </c>
      <c r="C335" s="50" t="s">
        <v>456</v>
      </c>
      <c r="D335" s="50" t="s">
        <v>46</v>
      </c>
      <c r="E335" s="50">
        <v>1</v>
      </c>
      <c r="F335" s="50">
        <v>1</v>
      </c>
      <c r="G335" s="50">
        <v>0</v>
      </c>
    </row>
    <row r="336" spans="1:7" x14ac:dyDescent="0.25">
      <c r="A336" s="50">
        <v>2008</v>
      </c>
      <c r="B336" s="50" t="s">
        <v>44</v>
      </c>
      <c r="C336" s="50" t="s">
        <v>327</v>
      </c>
      <c r="D336" s="50" t="s">
        <v>98</v>
      </c>
      <c r="E336" s="50">
        <v>9</v>
      </c>
      <c r="F336" s="50">
        <v>6</v>
      </c>
      <c r="G336" s="50">
        <v>3</v>
      </c>
    </row>
    <row r="337" spans="1:7" x14ac:dyDescent="0.25">
      <c r="A337" s="50">
        <v>2006</v>
      </c>
      <c r="B337" s="50" t="s">
        <v>38</v>
      </c>
      <c r="C337" s="50" t="s">
        <v>325</v>
      </c>
      <c r="D337" s="50" t="s">
        <v>102</v>
      </c>
      <c r="E337" s="50">
        <v>11</v>
      </c>
      <c r="F337" s="50">
        <v>6</v>
      </c>
      <c r="G337" s="50">
        <v>5</v>
      </c>
    </row>
    <row r="338" spans="1:7" x14ac:dyDescent="0.25">
      <c r="A338" s="50">
        <v>2651</v>
      </c>
      <c r="B338" s="50" t="s">
        <v>38</v>
      </c>
      <c r="C338" s="50" t="s">
        <v>435</v>
      </c>
      <c r="D338" s="50" t="s">
        <v>59</v>
      </c>
      <c r="E338" s="50">
        <v>3</v>
      </c>
      <c r="F338" s="50">
        <v>7</v>
      </c>
      <c r="G338" s="50">
        <v>-4</v>
      </c>
    </row>
    <row r="339" spans="1:7" x14ac:dyDescent="0.25">
      <c r="A339" s="50">
        <v>478</v>
      </c>
      <c r="B339" s="50" t="s">
        <v>49</v>
      </c>
      <c r="C339" s="50" t="s">
        <v>201</v>
      </c>
      <c r="D339" s="50" t="s">
        <v>108</v>
      </c>
      <c r="E339" s="50">
        <v>14</v>
      </c>
      <c r="F339" s="50">
        <v>14</v>
      </c>
      <c r="G339" s="50">
        <v>0</v>
      </c>
    </row>
    <row r="340" spans="1:7" x14ac:dyDescent="0.25">
      <c r="A340" s="50">
        <v>827</v>
      </c>
      <c r="B340" s="50" t="s">
        <v>44</v>
      </c>
      <c r="C340" s="50" t="s">
        <v>282</v>
      </c>
      <c r="D340" s="50" t="s">
        <v>102</v>
      </c>
      <c r="E340" s="50">
        <v>8</v>
      </c>
      <c r="F340" s="50">
        <v>7</v>
      </c>
      <c r="G340" s="50">
        <v>1</v>
      </c>
    </row>
    <row r="341" spans="1:7" x14ac:dyDescent="0.25">
      <c r="A341" s="50">
        <v>83</v>
      </c>
      <c r="B341" s="50" t="s">
        <v>44</v>
      </c>
      <c r="C341" s="50" t="s">
        <v>564</v>
      </c>
      <c r="D341" s="50" t="s">
        <v>483</v>
      </c>
      <c r="E341" s="50">
        <v>1</v>
      </c>
      <c r="F341" s="50">
        <v>4</v>
      </c>
      <c r="G341" s="50">
        <v>-3</v>
      </c>
    </row>
    <row r="342" spans="1:7" x14ac:dyDescent="0.25">
      <c r="A342" s="50">
        <v>2040</v>
      </c>
      <c r="B342" s="50" t="s">
        <v>49</v>
      </c>
      <c r="C342" s="50" t="s">
        <v>334</v>
      </c>
      <c r="D342" s="50" t="s">
        <v>133</v>
      </c>
      <c r="E342" s="50">
        <v>1</v>
      </c>
      <c r="F342" s="50">
        <v>3</v>
      </c>
      <c r="G342" s="50">
        <v>-2</v>
      </c>
    </row>
    <row r="343" spans="1:7" x14ac:dyDescent="0.25">
      <c r="A343" s="50">
        <v>2209</v>
      </c>
      <c r="B343" s="50" t="s">
        <v>44</v>
      </c>
      <c r="C343" s="50" t="s">
        <v>389</v>
      </c>
      <c r="D343" s="50" t="s">
        <v>133</v>
      </c>
      <c r="E343" s="50">
        <v>9</v>
      </c>
      <c r="F343" s="50">
        <v>12</v>
      </c>
      <c r="G343" s="50">
        <v>-3</v>
      </c>
    </row>
    <row r="344" spans="1:7" x14ac:dyDescent="0.25">
      <c r="A344" s="50">
        <v>2085</v>
      </c>
      <c r="B344" s="50" t="s">
        <v>44</v>
      </c>
      <c r="C344" s="50" t="s">
        <v>343</v>
      </c>
      <c r="D344" s="50" t="s">
        <v>133</v>
      </c>
      <c r="E344" s="50">
        <v>18</v>
      </c>
      <c r="F344" s="50">
        <v>27</v>
      </c>
      <c r="G344" s="50">
        <v>-9</v>
      </c>
    </row>
    <row r="345" spans="1:7" x14ac:dyDescent="0.25">
      <c r="A345" s="50">
        <v>2335</v>
      </c>
      <c r="B345" s="50" t="s">
        <v>38</v>
      </c>
      <c r="C345" s="50" t="s">
        <v>431</v>
      </c>
      <c r="D345" s="50" t="s">
        <v>133</v>
      </c>
      <c r="E345" s="50">
        <v>7</v>
      </c>
      <c r="F345" s="50">
        <v>8</v>
      </c>
      <c r="G345" s="50">
        <v>-1</v>
      </c>
    </row>
    <row r="346" spans="1:7" x14ac:dyDescent="0.25">
      <c r="A346" s="50">
        <v>1999</v>
      </c>
      <c r="B346" s="50" t="s">
        <v>38</v>
      </c>
      <c r="C346" s="50" t="s">
        <v>322</v>
      </c>
      <c r="D346" s="50" t="s">
        <v>133</v>
      </c>
      <c r="E346" s="50">
        <v>4</v>
      </c>
      <c r="F346" s="50">
        <v>5</v>
      </c>
      <c r="G346" s="50">
        <v>-1</v>
      </c>
    </row>
    <row r="347" spans="1:7" x14ac:dyDescent="0.25">
      <c r="A347" s="50">
        <v>2009</v>
      </c>
      <c r="B347" s="50" t="s">
        <v>44</v>
      </c>
      <c r="C347" s="50" t="s">
        <v>457</v>
      </c>
      <c r="D347" s="50" t="s">
        <v>108</v>
      </c>
      <c r="E347" s="50">
        <v>3</v>
      </c>
      <c r="F347" s="50">
        <v>2</v>
      </c>
      <c r="G347" s="50">
        <v>1</v>
      </c>
    </row>
    <row r="348" spans="1:7" x14ac:dyDescent="0.25">
      <c r="A348" s="50">
        <v>338</v>
      </c>
      <c r="B348" s="50" t="s">
        <v>44</v>
      </c>
      <c r="C348" s="50" t="s">
        <v>152</v>
      </c>
      <c r="D348" s="50" t="s">
        <v>133</v>
      </c>
      <c r="E348" s="50">
        <v>11</v>
      </c>
      <c r="F348" s="50">
        <v>11</v>
      </c>
      <c r="G348" s="50">
        <v>0</v>
      </c>
    </row>
    <row r="349" spans="1:7" x14ac:dyDescent="0.25">
      <c r="A349" s="50">
        <v>393</v>
      </c>
      <c r="B349" s="50" t="s">
        <v>38</v>
      </c>
      <c r="C349" s="50" t="s">
        <v>589</v>
      </c>
      <c r="D349" s="50" t="s">
        <v>62</v>
      </c>
      <c r="E349" s="50">
        <v>1</v>
      </c>
      <c r="F349" s="50">
        <v>2</v>
      </c>
      <c r="G349" s="50">
        <v>-1</v>
      </c>
    </row>
    <row r="350" spans="1:7" x14ac:dyDescent="0.25">
      <c r="A350" s="50">
        <v>2171</v>
      </c>
      <c r="B350" s="50" t="s">
        <v>38</v>
      </c>
      <c r="C350" s="50" t="s">
        <v>365</v>
      </c>
      <c r="D350" s="50" t="s">
        <v>54</v>
      </c>
      <c r="E350" s="50">
        <v>2</v>
      </c>
      <c r="F350" s="50">
        <v>6</v>
      </c>
      <c r="G350" s="50">
        <v>-4</v>
      </c>
    </row>
    <row r="351" spans="1:7" x14ac:dyDescent="0.25">
      <c r="A351" s="50">
        <v>2653</v>
      </c>
      <c r="B351" s="50" t="s">
        <v>38</v>
      </c>
      <c r="C351" s="50" t="s">
        <v>437</v>
      </c>
      <c r="D351" s="50" t="s">
        <v>46</v>
      </c>
      <c r="E351" s="50">
        <v>2</v>
      </c>
      <c r="F351" s="50">
        <v>5</v>
      </c>
      <c r="G351" s="50">
        <v>-3</v>
      </c>
    </row>
    <row r="352" spans="1:7" x14ac:dyDescent="0.25">
      <c r="A352" s="50">
        <v>666</v>
      </c>
      <c r="B352" s="50" t="s">
        <v>44</v>
      </c>
      <c r="C352" s="50" t="s">
        <v>661</v>
      </c>
      <c r="D352" s="50" t="s">
        <v>484</v>
      </c>
      <c r="E352" s="50">
        <v>3</v>
      </c>
      <c r="F352" s="50">
        <v>3</v>
      </c>
      <c r="G352" s="50">
        <v>0</v>
      </c>
    </row>
    <row r="353" spans="1:7" x14ac:dyDescent="0.25">
      <c r="A353" s="50">
        <v>2827</v>
      </c>
      <c r="B353" s="50" t="s">
        <v>49</v>
      </c>
      <c r="C353" s="50" t="s">
        <v>492</v>
      </c>
      <c r="D353" s="50" t="s">
        <v>67</v>
      </c>
      <c r="E353" s="50">
        <v>8</v>
      </c>
      <c r="F353" s="50">
        <v>12</v>
      </c>
      <c r="G353" s="50">
        <v>-4</v>
      </c>
    </row>
    <row r="354" spans="1:7" x14ac:dyDescent="0.25">
      <c r="A354" s="50">
        <v>528</v>
      </c>
      <c r="B354" s="50" t="s">
        <v>44</v>
      </c>
      <c r="C354" s="50" t="s">
        <v>214</v>
      </c>
      <c r="D354" s="50" t="s">
        <v>102</v>
      </c>
      <c r="E354" s="50">
        <v>6</v>
      </c>
      <c r="F354" s="50">
        <v>5</v>
      </c>
      <c r="G354" s="50">
        <v>1</v>
      </c>
    </row>
    <row r="355" spans="1:7" x14ac:dyDescent="0.25">
      <c r="A355" s="50">
        <v>2769</v>
      </c>
      <c r="B355" s="50" t="s">
        <v>38</v>
      </c>
      <c r="C355" s="50" t="s">
        <v>587</v>
      </c>
      <c r="D355" s="50" t="s">
        <v>102</v>
      </c>
      <c r="E355" s="50">
        <v>6</v>
      </c>
      <c r="F355" s="50">
        <v>2</v>
      </c>
      <c r="G355" s="50">
        <v>4</v>
      </c>
    </row>
    <row r="356" spans="1:7" x14ac:dyDescent="0.25">
      <c r="A356" s="50">
        <v>651</v>
      </c>
      <c r="B356" s="50" t="s">
        <v>44</v>
      </c>
      <c r="C356" s="50" t="s">
        <v>544</v>
      </c>
      <c r="D356" s="50" t="s">
        <v>490</v>
      </c>
      <c r="E356" s="50">
        <v>6</v>
      </c>
      <c r="F356" s="50">
        <v>5</v>
      </c>
      <c r="G356" s="50">
        <v>1</v>
      </c>
    </row>
    <row r="357" spans="1:7" x14ac:dyDescent="0.25">
      <c r="A357" s="50">
        <v>48</v>
      </c>
      <c r="B357" s="50" t="s">
        <v>38</v>
      </c>
      <c r="C357" s="50" t="s">
        <v>458</v>
      </c>
      <c r="D357" s="50" t="s">
        <v>483</v>
      </c>
      <c r="E357" s="50">
        <v>5</v>
      </c>
      <c r="F357" s="50">
        <v>5</v>
      </c>
      <c r="G357" s="50">
        <v>0</v>
      </c>
    </row>
    <row r="358" spans="1:7" x14ac:dyDescent="0.25">
      <c r="A358" s="50">
        <v>550</v>
      </c>
      <c r="B358" s="50" t="s">
        <v>38</v>
      </c>
      <c r="C358" s="50" t="s">
        <v>459</v>
      </c>
      <c r="D358" s="50" t="s">
        <v>62</v>
      </c>
      <c r="E358" s="50">
        <v>4</v>
      </c>
      <c r="F358" s="50">
        <v>4</v>
      </c>
      <c r="G358" s="50">
        <v>0</v>
      </c>
    </row>
    <row r="359" spans="1:7" x14ac:dyDescent="0.25">
      <c r="A359" s="50">
        <v>2860</v>
      </c>
      <c r="B359" s="50" t="s">
        <v>38</v>
      </c>
      <c r="C359" s="50" t="s">
        <v>518</v>
      </c>
      <c r="D359" s="50" t="s">
        <v>62</v>
      </c>
      <c r="E359" s="50">
        <v>8</v>
      </c>
      <c r="F359" s="50">
        <v>7</v>
      </c>
      <c r="G359" s="50">
        <v>1</v>
      </c>
    </row>
    <row r="360" spans="1:7" x14ac:dyDescent="0.25">
      <c r="A360" s="50">
        <v>2296</v>
      </c>
      <c r="B360" s="50" t="s">
        <v>38</v>
      </c>
      <c r="C360" s="50" t="s">
        <v>413</v>
      </c>
      <c r="D360" s="50" t="s">
        <v>43</v>
      </c>
      <c r="E360" s="50">
        <v>12</v>
      </c>
      <c r="F360" s="50">
        <v>8</v>
      </c>
      <c r="G360" s="50">
        <v>4</v>
      </c>
    </row>
    <row r="361" spans="1:7" x14ac:dyDescent="0.25">
      <c r="A361" s="50">
        <v>1933</v>
      </c>
      <c r="B361" s="50" t="s">
        <v>44</v>
      </c>
      <c r="C361" s="50" t="s">
        <v>306</v>
      </c>
      <c r="D361" s="50" t="s">
        <v>67</v>
      </c>
      <c r="E361" s="50">
        <v>7</v>
      </c>
      <c r="F361" s="50">
        <v>9</v>
      </c>
      <c r="G361" s="50">
        <v>-2</v>
      </c>
    </row>
    <row r="362" spans="1:7" x14ac:dyDescent="0.25">
      <c r="A362" s="50">
        <v>312</v>
      </c>
      <c r="B362" s="50" t="s">
        <v>49</v>
      </c>
      <c r="C362" s="50" t="s">
        <v>142</v>
      </c>
      <c r="D362" s="50" t="s">
        <v>104</v>
      </c>
      <c r="E362" s="50">
        <v>23</v>
      </c>
      <c r="F362" s="50">
        <v>18</v>
      </c>
      <c r="G362" s="50">
        <v>5</v>
      </c>
    </row>
    <row r="363" spans="1:7" x14ac:dyDescent="0.25">
      <c r="A363" s="50">
        <v>459</v>
      </c>
      <c r="B363" s="50" t="s">
        <v>38</v>
      </c>
      <c r="C363" s="50" t="s">
        <v>192</v>
      </c>
      <c r="D363" s="50" t="s">
        <v>84</v>
      </c>
      <c r="E363" s="50">
        <v>12</v>
      </c>
      <c r="F363" s="50">
        <v>12</v>
      </c>
      <c r="G363" s="50">
        <v>0</v>
      </c>
    </row>
    <row r="364" spans="1:7" x14ac:dyDescent="0.25">
      <c r="A364" s="50">
        <v>2782</v>
      </c>
      <c r="B364" s="50" t="s">
        <v>38</v>
      </c>
      <c r="C364" s="50" t="s">
        <v>520</v>
      </c>
      <c r="D364" s="50" t="s">
        <v>84</v>
      </c>
      <c r="E364" s="50">
        <v>3</v>
      </c>
      <c r="F364" s="50">
        <v>7</v>
      </c>
      <c r="G364" s="50">
        <v>-4</v>
      </c>
    </row>
    <row r="365" spans="1:7" x14ac:dyDescent="0.25">
      <c r="A365" s="50">
        <v>318</v>
      </c>
      <c r="B365" s="50" t="s">
        <v>35</v>
      </c>
      <c r="C365" s="50" t="s">
        <v>144</v>
      </c>
      <c r="D365" s="50" t="s">
        <v>59</v>
      </c>
      <c r="E365" s="50">
        <v>4</v>
      </c>
      <c r="F365" s="50">
        <v>10</v>
      </c>
      <c r="G365" s="50">
        <v>-6</v>
      </c>
    </row>
    <row r="366" spans="1:7" x14ac:dyDescent="0.25">
      <c r="A366" s="50">
        <v>300</v>
      </c>
      <c r="B366" s="50" t="s">
        <v>44</v>
      </c>
      <c r="C366" s="50" t="s">
        <v>138</v>
      </c>
      <c r="D366" s="50" t="s">
        <v>104</v>
      </c>
      <c r="E366" s="50">
        <v>5</v>
      </c>
      <c r="F366" s="50">
        <v>5</v>
      </c>
      <c r="G366" s="50">
        <v>0</v>
      </c>
    </row>
    <row r="367" spans="1:7" x14ac:dyDescent="0.25">
      <c r="A367" s="50">
        <v>2753</v>
      </c>
      <c r="B367" s="50" t="s">
        <v>38</v>
      </c>
      <c r="C367" s="50" t="s">
        <v>560</v>
      </c>
      <c r="D367" s="50" t="s">
        <v>483</v>
      </c>
      <c r="E367" s="50">
        <v>1</v>
      </c>
      <c r="F367" s="50">
        <v>4</v>
      </c>
      <c r="G367" s="50">
        <v>-3</v>
      </c>
    </row>
    <row r="368" spans="1:7" x14ac:dyDescent="0.25">
      <c r="A368" s="50">
        <v>142</v>
      </c>
      <c r="B368" s="50" t="s">
        <v>38</v>
      </c>
      <c r="C368" s="50" t="s">
        <v>87</v>
      </c>
      <c r="D368" s="50" t="s">
        <v>62</v>
      </c>
      <c r="E368" s="50">
        <v>7</v>
      </c>
      <c r="F368" s="50">
        <v>8</v>
      </c>
      <c r="G368" s="50">
        <v>-1</v>
      </c>
    </row>
    <row r="369" spans="1:7" x14ac:dyDescent="0.25">
      <c r="A369" s="50">
        <v>2355</v>
      </c>
      <c r="B369" s="50" t="s">
        <v>38</v>
      </c>
      <c r="C369" s="50" t="s">
        <v>512</v>
      </c>
      <c r="D369" s="50" t="s">
        <v>102</v>
      </c>
      <c r="E369" s="50">
        <v>7</v>
      </c>
      <c r="F369" s="50">
        <v>8</v>
      </c>
      <c r="G369" s="50">
        <v>-1</v>
      </c>
    </row>
    <row r="370" spans="1:7" x14ac:dyDescent="0.25">
      <c r="A370" s="50">
        <v>2764</v>
      </c>
      <c r="B370" s="50" t="s">
        <v>49</v>
      </c>
      <c r="C370" s="50" t="s">
        <v>474</v>
      </c>
      <c r="D370" s="50" t="s">
        <v>96</v>
      </c>
      <c r="E370" s="50">
        <v>13</v>
      </c>
      <c r="F370" s="50">
        <v>17</v>
      </c>
      <c r="G370" s="50">
        <v>-4</v>
      </c>
    </row>
    <row r="371" spans="1:7" x14ac:dyDescent="0.25">
      <c r="A371" s="50">
        <v>2188</v>
      </c>
      <c r="B371" s="50" t="s">
        <v>44</v>
      </c>
      <c r="C371" s="50" t="s">
        <v>375</v>
      </c>
      <c r="D371" s="50" t="s">
        <v>133</v>
      </c>
      <c r="E371" s="50">
        <v>7</v>
      </c>
      <c r="F371" s="50">
        <v>9</v>
      </c>
      <c r="G371" s="50">
        <v>-2</v>
      </c>
    </row>
    <row r="372" spans="1:7" x14ac:dyDescent="0.25">
      <c r="A372" s="50">
        <v>15</v>
      </c>
      <c r="B372" s="50" t="s">
        <v>38</v>
      </c>
      <c r="C372" s="50" t="s">
        <v>42</v>
      </c>
      <c r="D372" s="50" t="s">
        <v>43</v>
      </c>
      <c r="E372" s="50">
        <v>8</v>
      </c>
      <c r="F372" s="50">
        <v>14</v>
      </c>
      <c r="G372" s="50">
        <v>-6</v>
      </c>
    </row>
    <row r="373" spans="1:7" x14ac:dyDescent="0.25">
      <c r="A373" s="50">
        <v>380</v>
      </c>
      <c r="B373" s="50" t="s">
        <v>49</v>
      </c>
      <c r="C373" s="50" t="s">
        <v>169</v>
      </c>
      <c r="D373" s="50" t="s">
        <v>102</v>
      </c>
      <c r="E373" s="50">
        <v>6</v>
      </c>
      <c r="F373" s="50">
        <v>3</v>
      </c>
      <c r="G373" s="50">
        <v>3</v>
      </c>
    </row>
    <row r="374" spans="1:7" x14ac:dyDescent="0.25">
      <c r="A374" s="50">
        <v>106</v>
      </c>
      <c r="B374" s="50" t="s">
        <v>38</v>
      </c>
      <c r="C374" s="50" t="s">
        <v>73</v>
      </c>
      <c r="D374" s="50" t="s">
        <v>54</v>
      </c>
      <c r="E374" s="50">
        <v>6</v>
      </c>
      <c r="F374" s="50">
        <v>8</v>
      </c>
      <c r="G374" s="50">
        <v>-2</v>
      </c>
    </row>
    <row r="375" spans="1:7" x14ac:dyDescent="0.25">
      <c r="A375" s="50">
        <v>2306</v>
      </c>
      <c r="B375" s="50" t="s">
        <v>44</v>
      </c>
      <c r="C375" s="50" t="s">
        <v>417</v>
      </c>
      <c r="D375" s="50" t="s">
        <v>104</v>
      </c>
      <c r="E375" s="50">
        <v>16</v>
      </c>
      <c r="F375" s="50">
        <v>15</v>
      </c>
      <c r="G375" s="50">
        <v>1</v>
      </c>
    </row>
    <row r="376" spans="1:7" x14ac:dyDescent="0.25">
      <c r="A376" s="50">
        <v>371</v>
      </c>
      <c r="B376" s="50" t="s">
        <v>44</v>
      </c>
      <c r="C376" s="50" t="s">
        <v>164</v>
      </c>
      <c r="D376" s="50" t="s">
        <v>40</v>
      </c>
      <c r="E376" s="50">
        <v>1</v>
      </c>
      <c r="F376" s="50">
        <v>1</v>
      </c>
      <c r="G376" s="50">
        <v>0</v>
      </c>
    </row>
    <row r="377" spans="1:7" x14ac:dyDescent="0.25">
      <c r="A377" s="50">
        <v>1976</v>
      </c>
      <c r="B377" s="50" t="s">
        <v>44</v>
      </c>
      <c r="C377" s="50" t="s">
        <v>314</v>
      </c>
      <c r="D377" s="50" t="s">
        <v>59</v>
      </c>
      <c r="E377" s="50">
        <v>4</v>
      </c>
      <c r="F377" s="50">
        <v>6</v>
      </c>
      <c r="G377" s="50">
        <v>-2</v>
      </c>
    </row>
    <row r="378" spans="1:7" x14ac:dyDescent="0.25">
      <c r="A378" s="50">
        <v>50</v>
      </c>
      <c r="B378" s="50" t="s">
        <v>38</v>
      </c>
      <c r="C378" s="50" t="s">
        <v>57</v>
      </c>
      <c r="D378" s="50" t="s">
        <v>54</v>
      </c>
      <c r="E378" s="50">
        <v>6</v>
      </c>
      <c r="F378" s="50">
        <v>5</v>
      </c>
      <c r="G378" s="50">
        <v>1</v>
      </c>
    </row>
    <row r="379" spans="1:7" x14ac:dyDescent="0.25">
      <c r="A379" s="50">
        <v>154</v>
      </c>
      <c r="B379" s="50" t="s">
        <v>49</v>
      </c>
      <c r="C379" s="50" t="s">
        <v>553</v>
      </c>
      <c r="D379" s="50" t="s">
        <v>483</v>
      </c>
      <c r="E379" s="50">
        <v>3</v>
      </c>
      <c r="F379" s="50">
        <v>5</v>
      </c>
      <c r="G379" s="50">
        <v>-2</v>
      </c>
    </row>
    <row r="380" spans="1:7" x14ac:dyDescent="0.25">
      <c r="A380" s="50">
        <v>2658</v>
      </c>
      <c r="B380" s="50" t="s">
        <v>49</v>
      </c>
      <c r="C380" s="50" t="s">
        <v>438</v>
      </c>
      <c r="D380" s="50" t="s">
        <v>59</v>
      </c>
      <c r="E380" s="50">
        <v>5</v>
      </c>
      <c r="F380" s="50">
        <v>11</v>
      </c>
      <c r="G380" s="50">
        <v>-6</v>
      </c>
    </row>
    <row r="381" spans="1:7" x14ac:dyDescent="0.25">
      <c r="A381" s="50">
        <v>124</v>
      </c>
      <c r="B381" s="50" t="s">
        <v>49</v>
      </c>
      <c r="C381" s="50" t="s">
        <v>80</v>
      </c>
      <c r="D381" s="50" t="s">
        <v>69</v>
      </c>
      <c r="E381" s="50">
        <v>5</v>
      </c>
      <c r="F381" s="50">
        <v>6</v>
      </c>
      <c r="G381" s="50">
        <v>-1</v>
      </c>
    </row>
    <row r="382" spans="1:7" x14ac:dyDescent="0.25">
      <c r="A382" s="50">
        <v>2789</v>
      </c>
      <c r="B382" s="50" t="s">
        <v>44</v>
      </c>
      <c r="C382" s="50" t="s">
        <v>581</v>
      </c>
      <c r="D382" s="50" t="s">
        <v>108</v>
      </c>
      <c r="E382" s="50">
        <v>9</v>
      </c>
      <c r="F382" s="50">
        <v>3</v>
      </c>
      <c r="G382" s="50">
        <v>6</v>
      </c>
    </row>
    <row r="383" spans="1:7" x14ac:dyDescent="0.25">
      <c r="A383" s="50">
        <v>572</v>
      </c>
      <c r="B383" s="50" t="s">
        <v>35</v>
      </c>
      <c r="C383" s="50" t="s">
        <v>230</v>
      </c>
      <c r="D383" s="50" t="s">
        <v>62</v>
      </c>
      <c r="E383" s="50">
        <v>11</v>
      </c>
      <c r="F383" s="50">
        <v>14</v>
      </c>
      <c r="G383" s="50">
        <v>-3</v>
      </c>
    </row>
    <row r="384" spans="1:7" x14ac:dyDescent="0.25">
      <c r="A384" s="50">
        <v>410</v>
      </c>
      <c r="B384" s="50" t="s">
        <v>49</v>
      </c>
      <c r="C384" s="50" t="s">
        <v>184</v>
      </c>
      <c r="D384" s="50" t="s">
        <v>62</v>
      </c>
      <c r="E384" s="50">
        <v>30</v>
      </c>
      <c r="F384" s="50">
        <v>31</v>
      </c>
      <c r="G384" s="50">
        <v>-1</v>
      </c>
    </row>
    <row r="385" spans="1:7" x14ac:dyDescent="0.25">
      <c r="A385" s="50">
        <v>2794</v>
      </c>
      <c r="B385" s="50" t="s">
        <v>49</v>
      </c>
      <c r="C385" s="50" t="s">
        <v>636</v>
      </c>
      <c r="D385" s="50" t="s">
        <v>67</v>
      </c>
      <c r="E385" s="50">
        <v>1</v>
      </c>
      <c r="F385" s="50">
        <v>1</v>
      </c>
      <c r="G385" s="50">
        <v>0</v>
      </c>
    </row>
    <row r="386" spans="1:7" x14ac:dyDescent="0.25">
      <c r="A386" s="50">
        <v>2011</v>
      </c>
      <c r="B386" s="50" t="s">
        <v>44</v>
      </c>
      <c r="C386" s="50" t="s">
        <v>328</v>
      </c>
      <c r="D386" s="50" t="s">
        <v>59</v>
      </c>
      <c r="E386" s="50">
        <v>4</v>
      </c>
      <c r="F386" s="50">
        <v>4</v>
      </c>
      <c r="G386" s="50">
        <v>0</v>
      </c>
    </row>
    <row r="387" spans="1:7" x14ac:dyDescent="0.25">
      <c r="A387" s="50">
        <v>2164</v>
      </c>
      <c r="B387" s="50" t="s">
        <v>38</v>
      </c>
      <c r="C387" s="50" t="s">
        <v>358</v>
      </c>
      <c r="D387" s="50" t="s">
        <v>37</v>
      </c>
      <c r="E387" s="50">
        <v>8</v>
      </c>
      <c r="F387" s="50">
        <v>6</v>
      </c>
      <c r="G387" s="50">
        <v>2</v>
      </c>
    </row>
    <row r="388" spans="1:7" x14ac:dyDescent="0.25">
      <c r="A388" s="50">
        <v>2012</v>
      </c>
      <c r="B388" s="50" t="s">
        <v>49</v>
      </c>
      <c r="C388" s="50" t="s">
        <v>329</v>
      </c>
      <c r="D388" s="50" t="s">
        <v>62</v>
      </c>
      <c r="E388" s="50">
        <v>28</v>
      </c>
      <c r="F388" s="50">
        <v>26</v>
      </c>
      <c r="G388" s="50">
        <v>2</v>
      </c>
    </row>
    <row r="389" spans="1:7" x14ac:dyDescent="0.25">
      <c r="A389" s="50">
        <v>645</v>
      </c>
      <c r="B389" s="50" t="s">
        <v>44</v>
      </c>
      <c r="C389" s="50" t="s">
        <v>251</v>
      </c>
      <c r="D389" s="50" t="s">
        <v>133</v>
      </c>
      <c r="E389" s="50">
        <v>22</v>
      </c>
      <c r="F389" s="50">
        <v>30</v>
      </c>
      <c r="G389" s="50">
        <v>-8</v>
      </c>
    </row>
    <row r="390" spans="1:7" x14ac:dyDescent="0.25">
      <c r="A390" s="50">
        <v>2170</v>
      </c>
      <c r="B390" s="50" t="s">
        <v>35</v>
      </c>
      <c r="C390" s="50" t="s">
        <v>364</v>
      </c>
      <c r="D390" s="50" t="s">
        <v>41</v>
      </c>
      <c r="E390" s="50">
        <v>2</v>
      </c>
      <c r="F390" s="50">
        <v>8</v>
      </c>
      <c r="G390" s="50">
        <v>-6</v>
      </c>
    </row>
    <row r="391" spans="1:7" x14ac:dyDescent="0.25">
      <c r="A391" s="50">
        <v>1936</v>
      </c>
      <c r="B391" s="50" t="s">
        <v>44</v>
      </c>
      <c r="C391" s="50" t="s">
        <v>598</v>
      </c>
      <c r="D391" s="50" t="s">
        <v>133</v>
      </c>
      <c r="E391" s="50">
        <v>1</v>
      </c>
      <c r="F391" s="50">
        <v>2</v>
      </c>
      <c r="G391" s="50">
        <v>-1</v>
      </c>
    </row>
    <row r="392" spans="1:7" x14ac:dyDescent="0.25">
      <c r="A392" s="50">
        <v>2859</v>
      </c>
      <c r="B392" s="50" t="s">
        <v>49</v>
      </c>
      <c r="C392" s="50" t="s">
        <v>481</v>
      </c>
      <c r="D392" s="50" t="s">
        <v>37</v>
      </c>
      <c r="E392" s="50">
        <v>12</v>
      </c>
      <c r="F392" s="50">
        <v>14</v>
      </c>
      <c r="G392" s="50">
        <v>-2</v>
      </c>
    </row>
    <row r="393" spans="1:7" x14ac:dyDescent="0.25">
      <c r="A393" s="50">
        <v>257</v>
      </c>
      <c r="B393" s="50" t="s">
        <v>38</v>
      </c>
      <c r="C393" s="50" t="s">
        <v>123</v>
      </c>
      <c r="D393" s="50" t="s">
        <v>96</v>
      </c>
      <c r="E393" s="50">
        <v>5</v>
      </c>
      <c r="F393" s="50">
        <v>7</v>
      </c>
      <c r="G393" s="50">
        <v>-2</v>
      </c>
    </row>
    <row r="394" spans="1:7" x14ac:dyDescent="0.25">
      <c r="A394" s="50">
        <v>41</v>
      </c>
      <c r="B394" s="50" t="s">
        <v>35</v>
      </c>
      <c r="C394" s="50" t="s">
        <v>55</v>
      </c>
      <c r="D394" s="50" t="s">
        <v>84</v>
      </c>
      <c r="E394" s="50">
        <v>1</v>
      </c>
      <c r="F394" s="50">
        <v>1</v>
      </c>
      <c r="G394" s="50">
        <v>0</v>
      </c>
    </row>
    <row r="395" spans="1:7" x14ac:dyDescent="0.25">
      <c r="A395" s="50">
        <v>529</v>
      </c>
      <c r="B395" s="50" t="s">
        <v>44</v>
      </c>
      <c r="C395" s="50" t="s">
        <v>215</v>
      </c>
      <c r="D395" s="50" t="s">
        <v>41</v>
      </c>
      <c r="E395" s="50">
        <v>7</v>
      </c>
      <c r="F395" s="50">
        <v>6</v>
      </c>
      <c r="G395" s="50">
        <v>1</v>
      </c>
    </row>
    <row r="396" spans="1:7" x14ac:dyDescent="0.25">
      <c r="A396" s="50">
        <v>551</v>
      </c>
      <c r="B396" s="50" t="s">
        <v>38</v>
      </c>
      <c r="C396" s="50" t="s">
        <v>223</v>
      </c>
      <c r="D396" s="50" t="s">
        <v>490</v>
      </c>
      <c r="E396" s="50">
        <v>3</v>
      </c>
      <c r="F396" s="50">
        <v>7</v>
      </c>
      <c r="G396" s="50">
        <v>-4</v>
      </c>
    </row>
    <row r="397" spans="1:7" x14ac:dyDescent="0.25">
      <c r="A397" s="50">
        <v>2853</v>
      </c>
      <c r="B397" s="50" t="s">
        <v>49</v>
      </c>
      <c r="C397" s="50" t="s">
        <v>583</v>
      </c>
      <c r="D397" s="50" t="s">
        <v>41</v>
      </c>
      <c r="E397" s="50">
        <v>1</v>
      </c>
      <c r="F397" s="50">
        <v>3</v>
      </c>
      <c r="G397" s="50">
        <v>-2</v>
      </c>
    </row>
    <row r="398" spans="1:7" x14ac:dyDescent="0.25">
      <c r="A398" s="50">
        <v>372</v>
      </c>
      <c r="B398" s="50" t="s">
        <v>44</v>
      </c>
      <c r="C398" s="50" t="s">
        <v>165</v>
      </c>
      <c r="D398" s="50" t="s">
        <v>40</v>
      </c>
      <c r="E398" s="50">
        <v>1</v>
      </c>
      <c r="F398" s="50">
        <v>4</v>
      </c>
      <c r="G398" s="50">
        <v>-3</v>
      </c>
    </row>
    <row r="399" spans="1:7" x14ac:dyDescent="0.25">
      <c r="A399" s="50">
        <v>552</v>
      </c>
      <c r="B399" s="50" t="s">
        <v>38</v>
      </c>
      <c r="C399" s="50" t="s">
        <v>224</v>
      </c>
      <c r="D399" s="50" t="s">
        <v>108</v>
      </c>
      <c r="E399" s="50">
        <v>4</v>
      </c>
      <c r="F399" s="50">
        <v>3</v>
      </c>
      <c r="G399" s="50">
        <v>1</v>
      </c>
    </row>
    <row r="400" spans="1:7" x14ac:dyDescent="0.25">
      <c r="A400" s="50">
        <v>2750</v>
      </c>
      <c r="B400" s="50" t="s">
        <v>49</v>
      </c>
      <c r="C400" s="50" t="s">
        <v>525</v>
      </c>
      <c r="D400" s="50" t="s">
        <v>483</v>
      </c>
      <c r="E400" s="50">
        <v>4</v>
      </c>
      <c r="F400" s="50">
        <v>7</v>
      </c>
      <c r="G400" s="50">
        <v>-3</v>
      </c>
    </row>
    <row r="401" spans="1:7" x14ac:dyDescent="0.25">
      <c r="A401" s="50">
        <v>1875</v>
      </c>
      <c r="B401" s="50" t="s">
        <v>44</v>
      </c>
      <c r="C401" s="50" t="s">
        <v>626</v>
      </c>
      <c r="D401" s="50" t="s">
        <v>484</v>
      </c>
      <c r="E401" s="50">
        <v>1</v>
      </c>
      <c r="F401" s="50">
        <v>1</v>
      </c>
      <c r="G401" s="50">
        <v>0</v>
      </c>
    </row>
    <row r="402" spans="1:7" x14ac:dyDescent="0.25">
      <c r="A402" s="50">
        <v>2003</v>
      </c>
      <c r="B402" s="50" t="s">
        <v>44</v>
      </c>
      <c r="C402" s="50" t="s">
        <v>324</v>
      </c>
      <c r="D402" s="50" t="s">
        <v>41</v>
      </c>
      <c r="E402" s="50">
        <v>1</v>
      </c>
      <c r="F402" s="50">
        <v>3</v>
      </c>
      <c r="G402" s="50">
        <v>-2</v>
      </c>
    </row>
    <row r="403" spans="1:7" x14ac:dyDescent="0.25">
      <c r="A403" s="50">
        <v>507</v>
      </c>
      <c r="B403" s="50" t="s">
        <v>49</v>
      </c>
      <c r="C403" s="50" t="s">
        <v>662</v>
      </c>
      <c r="D403" s="50" t="s">
        <v>37</v>
      </c>
      <c r="E403" s="50">
        <v>24</v>
      </c>
      <c r="F403" s="50">
        <v>21</v>
      </c>
      <c r="G403" s="50">
        <v>3</v>
      </c>
    </row>
    <row r="404" spans="1:7" x14ac:dyDescent="0.25">
      <c r="A404" s="50">
        <v>1868</v>
      </c>
      <c r="B404" s="50" t="s">
        <v>38</v>
      </c>
      <c r="C404" s="50" t="s">
        <v>292</v>
      </c>
      <c r="D404" s="50" t="s">
        <v>98</v>
      </c>
      <c r="E404" s="50">
        <v>8</v>
      </c>
      <c r="F404" s="50">
        <v>6</v>
      </c>
      <c r="G404" s="50">
        <v>2</v>
      </c>
    </row>
    <row r="405" spans="1:7" x14ac:dyDescent="0.25">
      <c r="A405" s="50">
        <v>2168</v>
      </c>
      <c r="B405" s="50" t="s">
        <v>38</v>
      </c>
      <c r="C405" s="50" t="s">
        <v>362</v>
      </c>
      <c r="D405" s="50" t="s">
        <v>40</v>
      </c>
      <c r="E405" s="50">
        <v>6</v>
      </c>
      <c r="F405" s="50">
        <v>5</v>
      </c>
      <c r="G405" s="50">
        <v>1</v>
      </c>
    </row>
    <row r="406" spans="1:7" x14ac:dyDescent="0.25">
      <c r="A406" s="50">
        <v>2792</v>
      </c>
      <c r="B406" s="50" t="s">
        <v>35</v>
      </c>
      <c r="C406" s="50" t="s">
        <v>511</v>
      </c>
      <c r="D406" s="50" t="s">
        <v>67</v>
      </c>
      <c r="E406" s="50">
        <v>7</v>
      </c>
      <c r="F406" s="50">
        <v>8</v>
      </c>
      <c r="G406" s="50">
        <v>-1</v>
      </c>
    </row>
    <row r="407" spans="1:7" x14ac:dyDescent="0.25">
      <c r="A407" s="50">
        <v>1859</v>
      </c>
      <c r="B407" s="50" t="s">
        <v>44</v>
      </c>
      <c r="C407" s="50" t="s">
        <v>289</v>
      </c>
      <c r="D407" s="50" t="s">
        <v>54</v>
      </c>
      <c r="E407" s="50">
        <v>5</v>
      </c>
      <c r="F407" s="50">
        <v>4</v>
      </c>
      <c r="G407" s="50">
        <v>1</v>
      </c>
    </row>
    <row r="408" spans="1:7" x14ac:dyDescent="0.25">
      <c r="A408" s="50">
        <v>467</v>
      </c>
      <c r="B408" s="50" t="s">
        <v>44</v>
      </c>
      <c r="C408" s="50" t="s">
        <v>196</v>
      </c>
      <c r="D408" s="50" t="s">
        <v>96</v>
      </c>
      <c r="E408" s="50">
        <v>20</v>
      </c>
      <c r="F408" s="50">
        <v>25</v>
      </c>
      <c r="G408" s="50">
        <v>-5</v>
      </c>
    </row>
    <row r="409" spans="1:7" x14ac:dyDescent="0.25">
      <c r="A409" s="50">
        <v>382</v>
      </c>
      <c r="B409" s="50" t="s">
        <v>49</v>
      </c>
      <c r="C409" s="50" t="s">
        <v>170</v>
      </c>
      <c r="D409" s="50" t="s">
        <v>108</v>
      </c>
      <c r="E409" s="50">
        <v>11</v>
      </c>
      <c r="F409" s="50">
        <v>12</v>
      </c>
      <c r="G409" s="50">
        <v>-1</v>
      </c>
    </row>
    <row r="410" spans="1:7" x14ac:dyDescent="0.25">
      <c r="A410" s="50">
        <v>2271</v>
      </c>
      <c r="B410" s="50" t="s">
        <v>35</v>
      </c>
      <c r="C410" s="50" t="s">
        <v>402</v>
      </c>
      <c r="D410" s="50" t="s">
        <v>67</v>
      </c>
      <c r="E410" s="50">
        <v>1</v>
      </c>
      <c r="F410" s="50">
        <v>1</v>
      </c>
      <c r="G410" s="50">
        <v>0</v>
      </c>
    </row>
    <row r="411" spans="1:7" x14ac:dyDescent="0.25">
      <c r="A411" s="50">
        <v>4329</v>
      </c>
      <c r="B411" s="50" t="s">
        <v>38</v>
      </c>
      <c r="C411" s="50" t="s">
        <v>663</v>
      </c>
      <c r="D411" s="50" t="s">
        <v>483</v>
      </c>
      <c r="E411" s="50">
        <v>1</v>
      </c>
      <c r="F411" s="50">
        <v>1</v>
      </c>
      <c r="G411" s="50">
        <v>0</v>
      </c>
    </row>
    <row r="412" spans="1:7" x14ac:dyDescent="0.25">
      <c r="A412" s="50">
        <v>2288</v>
      </c>
      <c r="B412" s="50" t="s">
        <v>38</v>
      </c>
      <c r="C412" s="50" t="s">
        <v>409</v>
      </c>
      <c r="D412" s="50" t="s">
        <v>108</v>
      </c>
      <c r="E412" s="50">
        <v>15</v>
      </c>
      <c r="F412" s="50">
        <v>12</v>
      </c>
      <c r="G412" s="50">
        <v>3</v>
      </c>
    </row>
    <row r="413" spans="1:7" x14ac:dyDescent="0.25">
      <c r="A413" s="50">
        <v>2830</v>
      </c>
      <c r="B413" s="50" t="s">
        <v>44</v>
      </c>
      <c r="C413" s="50" t="s">
        <v>543</v>
      </c>
      <c r="D413" s="50" t="s">
        <v>37</v>
      </c>
      <c r="E413" s="50">
        <v>3</v>
      </c>
      <c r="F413" s="50">
        <v>5</v>
      </c>
      <c r="G413" s="50">
        <v>-2</v>
      </c>
    </row>
    <row r="414" spans="1:7" x14ac:dyDescent="0.25">
      <c r="A414" s="50">
        <v>2280</v>
      </c>
      <c r="B414" s="50" t="s">
        <v>38</v>
      </c>
      <c r="C414" s="50" t="s">
        <v>405</v>
      </c>
      <c r="D414" s="50" t="s">
        <v>67</v>
      </c>
      <c r="E414" s="50">
        <v>7</v>
      </c>
      <c r="F414" s="50">
        <v>5</v>
      </c>
      <c r="G414" s="50">
        <v>2</v>
      </c>
    </row>
    <row r="415" spans="1:7" x14ac:dyDescent="0.25">
      <c r="A415" s="50">
        <v>2617</v>
      </c>
      <c r="B415" s="50" t="s">
        <v>44</v>
      </c>
      <c r="C415" s="50" t="s">
        <v>497</v>
      </c>
      <c r="D415" s="50" t="s">
        <v>84</v>
      </c>
      <c r="E415" s="50">
        <v>10</v>
      </c>
      <c r="F415" s="50">
        <v>11</v>
      </c>
      <c r="G415" s="50">
        <v>-1</v>
      </c>
    </row>
    <row r="416" spans="1:7" x14ac:dyDescent="0.25">
      <c r="A416" s="50">
        <v>4337</v>
      </c>
      <c r="B416" s="50" t="s">
        <v>49</v>
      </c>
      <c r="C416" s="50" t="s">
        <v>664</v>
      </c>
      <c r="D416" s="50" t="s">
        <v>483</v>
      </c>
      <c r="E416" s="50">
        <v>9</v>
      </c>
      <c r="F416" s="50">
        <v>9</v>
      </c>
      <c r="G416" s="50">
        <v>0</v>
      </c>
    </row>
    <row r="417" spans="1:7" x14ac:dyDescent="0.25">
      <c r="A417" s="50">
        <v>560</v>
      </c>
      <c r="B417" s="50" t="s">
        <v>44</v>
      </c>
      <c r="C417" s="50" t="s">
        <v>228</v>
      </c>
      <c r="D417" s="50" t="s">
        <v>69</v>
      </c>
      <c r="E417" s="50">
        <v>5</v>
      </c>
      <c r="F417" s="50">
        <v>5</v>
      </c>
      <c r="G417" s="50">
        <v>0</v>
      </c>
    </row>
    <row r="418" spans="1:7" x14ac:dyDescent="0.25">
      <c r="A418" s="50">
        <v>2765</v>
      </c>
      <c r="B418" s="50" t="s">
        <v>49</v>
      </c>
      <c r="C418" s="50" t="s">
        <v>638</v>
      </c>
      <c r="D418" s="50" t="s">
        <v>102</v>
      </c>
      <c r="E418" s="50">
        <v>1</v>
      </c>
      <c r="F418" s="50">
        <v>1</v>
      </c>
      <c r="G418" s="50">
        <v>0</v>
      </c>
    </row>
    <row r="419" spans="1:7" x14ac:dyDescent="0.25">
      <c r="A419" s="50">
        <v>4324</v>
      </c>
      <c r="B419" s="50" t="s">
        <v>49</v>
      </c>
      <c r="C419" s="50" t="s">
        <v>665</v>
      </c>
      <c r="D419" s="50" t="s">
        <v>67</v>
      </c>
      <c r="E419" s="50">
        <v>11</v>
      </c>
      <c r="F419" s="50">
        <v>10</v>
      </c>
      <c r="G419" s="50">
        <v>1</v>
      </c>
    </row>
    <row r="420" spans="1:7" x14ac:dyDescent="0.25">
      <c r="A420" s="50">
        <v>2100</v>
      </c>
      <c r="B420" s="50" t="s">
        <v>49</v>
      </c>
      <c r="C420" s="50" t="s">
        <v>460</v>
      </c>
      <c r="D420" s="50" t="s">
        <v>54</v>
      </c>
      <c r="E420" s="50">
        <v>3</v>
      </c>
      <c r="F420" s="50">
        <v>5</v>
      </c>
      <c r="G420" s="50">
        <v>-2</v>
      </c>
    </row>
    <row r="421" spans="1:7" x14ac:dyDescent="0.25">
      <c r="A421" s="50">
        <v>4327</v>
      </c>
      <c r="B421" s="50" t="s">
        <v>44</v>
      </c>
      <c r="C421" s="50" t="s">
        <v>666</v>
      </c>
      <c r="D421" s="50" t="s">
        <v>46</v>
      </c>
      <c r="E421" s="50">
        <v>4</v>
      </c>
      <c r="F421" s="50">
        <v>4</v>
      </c>
      <c r="G421" s="50">
        <v>0</v>
      </c>
    </row>
    <row r="422" spans="1:7" x14ac:dyDescent="0.25">
      <c r="A422" s="50">
        <v>2087</v>
      </c>
      <c r="B422" s="50" t="s">
        <v>38</v>
      </c>
      <c r="C422" s="50" t="s">
        <v>344</v>
      </c>
      <c r="D422" s="50" t="s">
        <v>37</v>
      </c>
      <c r="E422" s="50">
        <v>1</v>
      </c>
      <c r="F422" s="50">
        <v>2</v>
      </c>
      <c r="G422" s="50">
        <v>-1</v>
      </c>
    </row>
    <row r="423" spans="1:7" x14ac:dyDescent="0.25">
      <c r="A423" s="50">
        <v>2836</v>
      </c>
      <c r="B423" s="50" t="s">
        <v>35</v>
      </c>
      <c r="C423" s="50" t="s">
        <v>476</v>
      </c>
      <c r="D423" s="50" t="s">
        <v>84</v>
      </c>
      <c r="E423" s="50">
        <v>11</v>
      </c>
      <c r="F423" s="50">
        <v>14</v>
      </c>
      <c r="G423" s="50">
        <v>-3</v>
      </c>
    </row>
    <row r="424" spans="1:7" x14ac:dyDescent="0.25">
      <c r="A424" s="50">
        <v>2293</v>
      </c>
      <c r="B424" s="50" t="s">
        <v>44</v>
      </c>
      <c r="C424" s="50" t="s">
        <v>412</v>
      </c>
      <c r="D424" s="50" t="s">
        <v>59</v>
      </c>
      <c r="E424" s="50">
        <v>1</v>
      </c>
      <c r="F424" s="50">
        <v>5</v>
      </c>
      <c r="G424" s="50">
        <v>-4</v>
      </c>
    </row>
    <row r="425" spans="1:7" x14ac:dyDescent="0.25">
      <c r="A425" s="50">
        <v>2793</v>
      </c>
      <c r="B425" s="50" t="s">
        <v>38</v>
      </c>
      <c r="C425" s="50" t="s">
        <v>567</v>
      </c>
      <c r="D425" s="50" t="s">
        <v>67</v>
      </c>
      <c r="E425" s="50">
        <v>3</v>
      </c>
      <c r="F425" s="50">
        <v>3</v>
      </c>
      <c r="G425" s="50">
        <v>0</v>
      </c>
    </row>
    <row r="426" spans="1:7" x14ac:dyDescent="0.25">
      <c r="A426" s="50">
        <v>2167</v>
      </c>
      <c r="B426" s="50" t="s">
        <v>49</v>
      </c>
      <c r="C426" s="50" t="s">
        <v>361</v>
      </c>
      <c r="D426" s="50" t="s">
        <v>54</v>
      </c>
      <c r="E426" s="50">
        <v>7</v>
      </c>
      <c r="F426" s="50">
        <v>3</v>
      </c>
      <c r="G426" s="50">
        <v>4</v>
      </c>
    </row>
    <row r="427" spans="1:7" x14ac:dyDescent="0.25">
      <c r="A427" s="50">
        <v>2468</v>
      </c>
      <c r="B427" s="50" t="s">
        <v>35</v>
      </c>
      <c r="C427" s="50" t="s">
        <v>616</v>
      </c>
      <c r="D427" s="50" t="s">
        <v>62</v>
      </c>
      <c r="E427" s="50">
        <v>5</v>
      </c>
      <c r="F427" s="50">
        <v>1</v>
      </c>
      <c r="G427" s="50">
        <v>4</v>
      </c>
    </row>
    <row r="428" spans="1:7" x14ac:dyDescent="0.25">
      <c r="A428" s="50">
        <v>2195</v>
      </c>
      <c r="B428" s="50" t="s">
        <v>49</v>
      </c>
      <c r="C428" s="50" t="s">
        <v>380</v>
      </c>
      <c r="D428" s="50" t="s">
        <v>62</v>
      </c>
      <c r="E428" s="50">
        <v>7</v>
      </c>
      <c r="F428" s="50">
        <v>7</v>
      </c>
      <c r="G428" s="50">
        <v>0</v>
      </c>
    </row>
    <row r="429" spans="1:7" x14ac:dyDescent="0.25">
      <c r="A429" s="50">
        <v>543</v>
      </c>
      <c r="B429" s="50" t="s">
        <v>35</v>
      </c>
      <c r="C429" s="50" t="s">
        <v>222</v>
      </c>
      <c r="D429" s="50" t="s">
        <v>96</v>
      </c>
      <c r="E429" s="50">
        <v>1</v>
      </c>
      <c r="F429" s="50">
        <v>1</v>
      </c>
      <c r="G429" s="50">
        <v>0</v>
      </c>
    </row>
    <row r="430" spans="1:7" x14ac:dyDescent="0.25">
      <c r="A430" s="50">
        <v>301</v>
      </c>
      <c r="B430" s="50" t="s">
        <v>44</v>
      </c>
      <c r="C430" s="50" t="s">
        <v>139</v>
      </c>
      <c r="D430" s="50" t="s">
        <v>46</v>
      </c>
      <c r="E430" s="50">
        <v>6</v>
      </c>
      <c r="F430" s="50">
        <v>4</v>
      </c>
      <c r="G430" s="50">
        <v>2</v>
      </c>
    </row>
    <row r="431" spans="1:7" x14ac:dyDescent="0.25">
      <c r="A431" s="50">
        <v>207</v>
      </c>
      <c r="B431" s="50" t="s">
        <v>44</v>
      </c>
      <c r="C431" s="50" t="s">
        <v>597</v>
      </c>
      <c r="D431" s="50" t="s">
        <v>490</v>
      </c>
      <c r="E431" s="50">
        <v>1</v>
      </c>
      <c r="F431" s="50">
        <v>2</v>
      </c>
      <c r="G431" s="50">
        <v>-1</v>
      </c>
    </row>
    <row r="432" spans="1:7" x14ac:dyDescent="0.25">
      <c r="A432" s="50">
        <v>1876</v>
      </c>
      <c r="B432" s="50" t="s">
        <v>38</v>
      </c>
      <c r="C432" s="50" t="s">
        <v>593</v>
      </c>
      <c r="D432" s="50" t="s">
        <v>483</v>
      </c>
      <c r="E432" s="50">
        <v>2</v>
      </c>
      <c r="F432" s="50">
        <v>2</v>
      </c>
      <c r="G432" s="50">
        <v>0</v>
      </c>
    </row>
    <row r="433" spans="1:7" x14ac:dyDescent="0.25">
      <c r="A433" s="50">
        <v>280</v>
      </c>
      <c r="B433" s="50" t="s">
        <v>49</v>
      </c>
      <c r="C433" s="50" t="s">
        <v>129</v>
      </c>
      <c r="D433" s="50" t="s">
        <v>54</v>
      </c>
      <c r="E433" s="50">
        <v>10</v>
      </c>
      <c r="F433" s="50">
        <v>8</v>
      </c>
      <c r="G433" s="50">
        <v>2</v>
      </c>
    </row>
    <row r="434" spans="1:7" x14ac:dyDescent="0.25">
      <c r="A434" s="50">
        <v>2181</v>
      </c>
      <c r="B434" s="50" t="s">
        <v>38</v>
      </c>
      <c r="C434" s="50" t="s">
        <v>372</v>
      </c>
      <c r="D434" s="50" t="s">
        <v>43</v>
      </c>
      <c r="E434" s="50">
        <v>8</v>
      </c>
      <c r="F434" s="50">
        <v>7</v>
      </c>
      <c r="G434" s="50">
        <v>1</v>
      </c>
    </row>
    <row r="435" spans="1:7" x14ac:dyDescent="0.25">
      <c r="A435" s="50">
        <v>126</v>
      </c>
      <c r="B435" s="50" t="s">
        <v>49</v>
      </c>
      <c r="C435" s="50" t="s">
        <v>81</v>
      </c>
      <c r="D435" s="50" t="s">
        <v>41</v>
      </c>
      <c r="E435" s="50">
        <v>9</v>
      </c>
      <c r="F435" s="50">
        <v>13</v>
      </c>
      <c r="G435" s="50">
        <v>-4</v>
      </c>
    </row>
    <row r="436" spans="1:7" x14ac:dyDescent="0.25">
      <c r="A436" s="50">
        <v>245</v>
      </c>
      <c r="B436" s="50" t="s">
        <v>49</v>
      </c>
      <c r="C436" s="50" t="s">
        <v>115</v>
      </c>
      <c r="D436" s="50" t="s">
        <v>59</v>
      </c>
      <c r="E436" s="50">
        <v>7</v>
      </c>
      <c r="F436" s="50">
        <v>9</v>
      </c>
      <c r="G436" s="50">
        <v>-2</v>
      </c>
    </row>
    <row r="437" spans="1:7" x14ac:dyDescent="0.25">
      <c r="A437" s="50">
        <v>4322</v>
      </c>
      <c r="B437" s="50" t="s">
        <v>44</v>
      </c>
      <c r="C437" s="50" t="s">
        <v>667</v>
      </c>
      <c r="D437" s="50" t="s">
        <v>40</v>
      </c>
      <c r="E437" s="50">
        <v>13</v>
      </c>
      <c r="F437" s="50">
        <v>13</v>
      </c>
      <c r="G437" s="50">
        <v>0</v>
      </c>
    </row>
    <row r="438" spans="1:7" x14ac:dyDescent="0.25">
      <c r="A438" s="50">
        <v>1982</v>
      </c>
      <c r="B438" s="50" t="s">
        <v>49</v>
      </c>
      <c r="C438" s="50" t="s">
        <v>316</v>
      </c>
      <c r="D438" s="50" t="s">
        <v>108</v>
      </c>
      <c r="E438" s="50">
        <v>5</v>
      </c>
      <c r="F438" s="50">
        <v>7</v>
      </c>
      <c r="G438" s="50">
        <v>-2</v>
      </c>
    </row>
    <row r="439" spans="1:7" x14ac:dyDescent="0.25">
      <c r="A439" s="50">
        <v>342</v>
      </c>
      <c r="B439" s="50" t="s">
        <v>44</v>
      </c>
      <c r="C439" s="50" t="s">
        <v>153</v>
      </c>
      <c r="D439" s="50" t="s">
        <v>133</v>
      </c>
      <c r="E439" s="50">
        <v>16</v>
      </c>
      <c r="F439" s="50">
        <v>13</v>
      </c>
      <c r="G439" s="50">
        <v>3</v>
      </c>
    </row>
    <row r="440" spans="1:7" x14ac:dyDescent="0.25">
      <c r="A440" s="50">
        <v>2077</v>
      </c>
      <c r="B440" s="50" t="s">
        <v>44</v>
      </c>
      <c r="C440" s="50" t="s">
        <v>478</v>
      </c>
      <c r="D440" s="50" t="s">
        <v>43</v>
      </c>
      <c r="E440" s="50">
        <v>11</v>
      </c>
      <c r="F440" s="50">
        <v>14</v>
      </c>
      <c r="G440" s="50">
        <v>-3</v>
      </c>
    </row>
    <row r="441" spans="1:7" x14ac:dyDescent="0.25">
      <c r="A441" s="50">
        <v>166</v>
      </c>
      <c r="B441" s="50" t="s">
        <v>38</v>
      </c>
      <c r="C441" s="50" t="s">
        <v>521</v>
      </c>
      <c r="D441" s="50" t="s">
        <v>483</v>
      </c>
      <c r="E441" s="50">
        <v>8</v>
      </c>
      <c r="F441" s="50">
        <v>7</v>
      </c>
      <c r="G441" s="50">
        <v>1</v>
      </c>
    </row>
    <row r="442" spans="1:7" x14ac:dyDescent="0.25">
      <c r="A442" s="50">
        <v>2378</v>
      </c>
      <c r="B442" s="50" t="s">
        <v>44</v>
      </c>
      <c r="C442" s="50" t="s">
        <v>471</v>
      </c>
      <c r="D442" s="50" t="s">
        <v>84</v>
      </c>
      <c r="E442" s="50">
        <v>16</v>
      </c>
      <c r="F442" s="50">
        <v>21</v>
      </c>
      <c r="G442" s="50">
        <v>-5</v>
      </c>
    </row>
    <row r="443" spans="1:7" x14ac:dyDescent="0.25">
      <c r="A443" s="50">
        <v>327</v>
      </c>
      <c r="B443" s="50" t="s">
        <v>38</v>
      </c>
      <c r="C443" s="50" t="s">
        <v>147</v>
      </c>
      <c r="D443" s="50" t="s">
        <v>133</v>
      </c>
      <c r="E443" s="50">
        <v>3</v>
      </c>
      <c r="F443" s="50">
        <v>2</v>
      </c>
      <c r="G443" s="50">
        <v>1</v>
      </c>
    </row>
    <row r="444" spans="1:7" x14ac:dyDescent="0.25">
      <c r="A444" s="50">
        <v>247</v>
      </c>
      <c r="B444" s="50" t="s">
        <v>49</v>
      </c>
      <c r="C444" s="50" t="s">
        <v>116</v>
      </c>
      <c r="D444" s="50" t="s">
        <v>46</v>
      </c>
      <c r="E444" s="50">
        <v>20</v>
      </c>
      <c r="F444" s="50">
        <v>17</v>
      </c>
      <c r="G444" s="50">
        <v>3</v>
      </c>
    </row>
    <row r="445" spans="1:7" x14ac:dyDescent="0.25">
      <c r="A445" s="50">
        <v>2747</v>
      </c>
      <c r="B445" s="50" t="s">
        <v>38</v>
      </c>
      <c r="C445" s="50" t="s">
        <v>563</v>
      </c>
      <c r="D445" s="50" t="s">
        <v>54</v>
      </c>
      <c r="E445" s="50">
        <v>1</v>
      </c>
      <c r="F445" s="50">
        <v>4</v>
      </c>
      <c r="G445" s="50">
        <v>-3</v>
      </c>
    </row>
    <row r="446" spans="1:7" x14ac:dyDescent="0.25">
      <c r="A446" s="50">
        <v>2333</v>
      </c>
      <c r="B446" s="50" t="s">
        <v>49</v>
      </c>
      <c r="C446" s="50" t="s">
        <v>429</v>
      </c>
      <c r="D446" s="50" t="s">
        <v>133</v>
      </c>
      <c r="E446" s="50">
        <v>1</v>
      </c>
      <c r="F446" s="50">
        <v>1</v>
      </c>
      <c r="G446" s="50">
        <v>0</v>
      </c>
    </row>
    <row r="447" spans="1:7" x14ac:dyDescent="0.25">
      <c r="A447" s="50">
        <v>2785</v>
      </c>
      <c r="B447" s="50" t="s">
        <v>44</v>
      </c>
      <c r="C447" s="50" t="s">
        <v>629</v>
      </c>
      <c r="D447" s="50" t="s">
        <v>98</v>
      </c>
      <c r="E447" s="50">
        <v>1</v>
      </c>
      <c r="F447" s="50">
        <v>1</v>
      </c>
      <c r="G447" s="50">
        <v>0</v>
      </c>
    </row>
    <row r="448" spans="1:7" x14ac:dyDescent="0.25">
      <c r="A448" s="50">
        <v>510</v>
      </c>
      <c r="B448" s="50" t="s">
        <v>35</v>
      </c>
      <c r="C448" s="50" t="s">
        <v>209</v>
      </c>
      <c r="D448" s="50" t="s">
        <v>102</v>
      </c>
      <c r="E448" s="50">
        <v>1</v>
      </c>
      <c r="F448" s="50">
        <v>1</v>
      </c>
      <c r="G448" s="50">
        <v>0</v>
      </c>
    </row>
    <row r="449" spans="1:7" x14ac:dyDescent="0.25">
      <c r="A449" s="50">
        <v>530</v>
      </c>
      <c r="B449" s="50" t="s">
        <v>44</v>
      </c>
      <c r="C449" s="50" t="s">
        <v>480</v>
      </c>
      <c r="D449" s="50" t="s">
        <v>84</v>
      </c>
      <c r="E449" s="50">
        <v>13</v>
      </c>
      <c r="F449" s="50">
        <v>14</v>
      </c>
      <c r="G449" s="50">
        <v>-1</v>
      </c>
    </row>
    <row r="450" spans="1:7" x14ac:dyDescent="0.25">
      <c r="A450" s="50">
        <v>2728</v>
      </c>
      <c r="B450" s="50" t="s">
        <v>38</v>
      </c>
      <c r="C450" s="50" t="s">
        <v>570</v>
      </c>
      <c r="D450" s="50" t="s">
        <v>46</v>
      </c>
      <c r="E450" s="50">
        <v>1</v>
      </c>
      <c r="F450" s="50">
        <v>3</v>
      </c>
      <c r="G450" s="50">
        <v>-2</v>
      </c>
    </row>
    <row r="451" spans="1:7" x14ac:dyDescent="0.25">
      <c r="A451" s="50">
        <v>127</v>
      </c>
      <c r="B451" s="50" t="s">
        <v>49</v>
      </c>
      <c r="C451" s="50" t="s">
        <v>82</v>
      </c>
      <c r="D451" s="50" t="s">
        <v>69</v>
      </c>
      <c r="E451" s="50">
        <v>7</v>
      </c>
      <c r="F451" s="50">
        <v>3</v>
      </c>
      <c r="G451" s="50">
        <v>4</v>
      </c>
    </row>
    <row r="452" spans="1:7" x14ac:dyDescent="0.25">
      <c r="A452" s="50">
        <v>521</v>
      </c>
      <c r="B452" s="50" t="s">
        <v>38</v>
      </c>
      <c r="C452" s="50" t="s">
        <v>212</v>
      </c>
      <c r="D452" s="50" t="s">
        <v>102</v>
      </c>
      <c r="E452" s="50">
        <v>3</v>
      </c>
      <c r="F452" s="50">
        <v>4</v>
      </c>
      <c r="G452" s="50">
        <v>-1</v>
      </c>
    </row>
    <row r="453" spans="1:7" x14ac:dyDescent="0.25">
      <c r="A453" s="50">
        <v>729</v>
      </c>
      <c r="B453" s="50" t="s">
        <v>38</v>
      </c>
      <c r="C453" s="50" t="s">
        <v>266</v>
      </c>
      <c r="D453" s="50" t="s">
        <v>59</v>
      </c>
      <c r="E453" s="50">
        <v>3</v>
      </c>
      <c r="F453" s="50">
        <v>3</v>
      </c>
      <c r="G453" s="50">
        <v>0</v>
      </c>
    </row>
    <row r="454" spans="1:7" x14ac:dyDescent="0.25">
      <c r="A454" s="50">
        <v>605</v>
      </c>
      <c r="B454" s="50" t="s">
        <v>49</v>
      </c>
      <c r="C454" s="50" t="s">
        <v>236</v>
      </c>
      <c r="D454" s="50" t="s">
        <v>490</v>
      </c>
      <c r="E454" s="50">
        <v>5</v>
      </c>
      <c r="F454" s="50">
        <v>12</v>
      </c>
      <c r="G454" s="50">
        <v>-7</v>
      </c>
    </row>
    <row r="455" spans="1:7" x14ac:dyDescent="0.25">
      <c r="A455" s="50">
        <v>218</v>
      </c>
      <c r="B455" s="50" t="s">
        <v>35</v>
      </c>
      <c r="C455" s="50" t="s">
        <v>107</v>
      </c>
      <c r="D455" s="50" t="s">
        <v>104</v>
      </c>
      <c r="E455" s="50">
        <v>4</v>
      </c>
      <c r="F455" s="50">
        <v>1</v>
      </c>
      <c r="G455" s="50">
        <v>3</v>
      </c>
    </row>
    <row r="456" spans="1:7" x14ac:dyDescent="0.25">
      <c r="A456" s="50">
        <v>673</v>
      </c>
      <c r="B456" s="50" t="s">
        <v>35</v>
      </c>
      <c r="C456" s="50" t="s">
        <v>668</v>
      </c>
      <c r="D456" s="50" t="s">
        <v>67</v>
      </c>
      <c r="E456" s="50">
        <v>1</v>
      </c>
      <c r="F456" s="50">
        <v>1</v>
      </c>
      <c r="G456" s="50">
        <v>0</v>
      </c>
    </row>
    <row r="457" spans="1:7" x14ac:dyDescent="0.25">
      <c r="A457" s="50">
        <v>704</v>
      </c>
      <c r="B457" s="50" t="s">
        <v>44</v>
      </c>
      <c r="C457" s="50" t="s">
        <v>260</v>
      </c>
      <c r="D457" s="50" t="s">
        <v>96</v>
      </c>
      <c r="E457" s="50">
        <v>23</v>
      </c>
      <c r="F457" s="50">
        <v>28</v>
      </c>
      <c r="G457" s="50">
        <v>-5</v>
      </c>
    </row>
    <row r="458" spans="1:7" x14ac:dyDescent="0.25">
      <c r="A458" s="50">
        <v>237</v>
      </c>
      <c r="B458" s="50" t="s">
        <v>44</v>
      </c>
      <c r="C458" s="50" t="s">
        <v>113</v>
      </c>
      <c r="D458" s="50" t="s">
        <v>84</v>
      </c>
      <c r="E458" s="50">
        <v>9</v>
      </c>
      <c r="F458" s="50">
        <v>16</v>
      </c>
      <c r="G458" s="50">
        <v>-7</v>
      </c>
    </row>
    <row r="459" spans="1:7" x14ac:dyDescent="0.25">
      <c r="A459" s="50">
        <v>4328</v>
      </c>
      <c r="B459" s="50" t="s">
        <v>35</v>
      </c>
      <c r="C459" s="50" t="s">
        <v>669</v>
      </c>
      <c r="D459" s="50" t="s">
        <v>483</v>
      </c>
      <c r="E459" s="50">
        <v>1</v>
      </c>
      <c r="F459" s="50">
        <v>1</v>
      </c>
      <c r="G459" s="50">
        <v>0</v>
      </c>
    </row>
    <row r="460" spans="1:7" x14ac:dyDescent="0.25">
      <c r="A460" s="50">
        <v>2741</v>
      </c>
      <c r="B460" s="50" t="s">
        <v>44</v>
      </c>
      <c r="C460" s="50" t="s">
        <v>542</v>
      </c>
      <c r="D460" s="50" t="s">
        <v>43</v>
      </c>
      <c r="E460" s="50">
        <v>4</v>
      </c>
      <c r="F460" s="50">
        <v>5</v>
      </c>
      <c r="G460" s="50">
        <v>-1</v>
      </c>
    </row>
    <row r="461" spans="1:7" x14ac:dyDescent="0.25">
      <c r="A461" s="50">
        <v>383</v>
      </c>
      <c r="B461" s="50" t="s">
        <v>49</v>
      </c>
      <c r="C461" s="50" t="s">
        <v>171</v>
      </c>
      <c r="D461" s="50" t="s">
        <v>41</v>
      </c>
      <c r="E461" s="50">
        <v>16</v>
      </c>
      <c r="F461" s="50">
        <v>15</v>
      </c>
      <c r="G461" s="50">
        <v>1</v>
      </c>
    </row>
    <row r="462" spans="1:7" x14ac:dyDescent="0.25">
      <c r="A462" s="50">
        <v>2114</v>
      </c>
      <c r="B462" s="50" t="s">
        <v>49</v>
      </c>
      <c r="C462" s="50" t="s">
        <v>347</v>
      </c>
      <c r="D462" s="50" t="s">
        <v>54</v>
      </c>
      <c r="E462" s="50">
        <v>3</v>
      </c>
      <c r="F462" s="50">
        <v>3</v>
      </c>
      <c r="G462" s="50">
        <v>0</v>
      </c>
    </row>
    <row r="463" spans="1:7" x14ac:dyDescent="0.25">
      <c r="A463" s="50">
        <v>2309</v>
      </c>
      <c r="B463" s="50" t="s">
        <v>38</v>
      </c>
      <c r="C463" s="50" t="s">
        <v>418</v>
      </c>
      <c r="D463" s="50" t="s">
        <v>37</v>
      </c>
      <c r="E463" s="50">
        <v>11</v>
      </c>
      <c r="F463" s="50">
        <v>10</v>
      </c>
      <c r="G463" s="50">
        <v>1</v>
      </c>
    </row>
    <row r="464" spans="1:7" x14ac:dyDescent="0.25">
      <c r="A464" s="50">
        <v>770</v>
      </c>
      <c r="B464" s="50" t="s">
        <v>38</v>
      </c>
      <c r="C464" s="50" t="s">
        <v>267</v>
      </c>
      <c r="D464" s="50" t="s">
        <v>59</v>
      </c>
      <c r="E464" s="50">
        <v>2</v>
      </c>
      <c r="F464" s="50">
        <v>5</v>
      </c>
      <c r="G464" s="50">
        <v>-3</v>
      </c>
    </row>
    <row r="465" spans="1:7" x14ac:dyDescent="0.25">
      <c r="A465" s="50">
        <v>2756</v>
      </c>
      <c r="B465" s="50" t="s">
        <v>49</v>
      </c>
      <c r="C465" s="50" t="s">
        <v>485</v>
      </c>
      <c r="D465" s="50" t="s">
        <v>40</v>
      </c>
      <c r="E465" s="50">
        <v>26</v>
      </c>
      <c r="F465" s="50">
        <v>13</v>
      </c>
      <c r="G465" s="50">
        <v>13</v>
      </c>
    </row>
    <row r="466" spans="1:7" x14ac:dyDescent="0.25">
      <c r="A466" s="50">
        <v>4334</v>
      </c>
      <c r="B466" s="50" t="s">
        <v>44</v>
      </c>
      <c r="C466" s="50" t="s">
        <v>670</v>
      </c>
      <c r="D466" s="50" t="s">
        <v>69</v>
      </c>
      <c r="E466" s="50">
        <v>7</v>
      </c>
      <c r="F466" s="50">
        <v>7</v>
      </c>
      <c r="G466" s="50">
        <v>0</v>
      </c>
    </row>
    <row r="467" spans="1:7" x14ac:dyDescent="0.25">
      <c r="A467" s="50">
        <v>2038</v>
      </c>
      <c r="B467" s="50" t="s">
        <v>49</v>
      </c>
      <c r="C467" s="50" t="s">
        <v>333</v>
      </c>
      <c r="D467" s="50" t="s">
        <v>490</v>
      </c>
      <c r="E467" s="50">
        <v>8</v>
      </c>
      <c r="F467" s="50">
        <v>7</v>
      </c>
      <c r="G467" s="50">
        <v>1</v>
      </c>
    </row>
    <row r="468" spans="1:7" x14ac:dyDescent="0.25">
      <c r="A468" s="50">
        <v>1930</v>
      </c>
      <c r="B468" s="50" t="s">
        <v>35</v>
      </c>
      <c r="C468" s="50" t="s">
        <v>304</v>
      </c>
      <c r="D468" s="50" t="s">
        <v>104</v>
      </c>
      <c r="E468" s="50">
        <v>1</v>
      </c>
      <c r="F468" s="50">
        <v>1</v>
      </c>
      <c r="G468" s="50">
        <v>0</v>
      </c>
    </row>
    <row r="469" spans="1:7" x14ac:dyDescent="0.25">
      <c r="A469" s="50">
        <v>1869</v>
      </c>
      <c r="B469" s="50" t="s">
        <v>38</v>
      </c>
      <c r="C469" s="50" t="s">
        <v>293</v>
      </c>
      <c r="D469" s="50" t="s">
        <v>46</v>
      </c>
      <c r="E469" s="50">
        <v>5</v>
      </c>
      <c r="F469" s="50">
        <v>4</v>
      </c>
      <c r="G469" s="50">
        <v>1</v>
      </c>
    </row>
    <row r="470" spans="1:7" x14ac:dyDescent="0.25">
      <c r="A470" s="50">
        <v>1998</v>
      </c>
      <c r="B470" s="50" t="s">
        <v>49</v>
      </c>
      <c r="C470" s="50" t="s">
        <v>461</v>
      </c>
      <c r="D470" s="50" t="s">
        <v>37</v>
      </c>
      <c r="E470" s="50">
        <v>11</v>
      </c>
      <c r="F470" s="50">
        <v>16</v>
      </c>
      <c r="G470" s="50">
        <v>-5</v>
      </c>
    </row>
    <row r="471" spans="1:7" x14ac:dyDescent="0.25">
      <c r="A471" s="50">
        <v>469</v>
      </c>
      <c r="B471" s="50" t="s">
        <v>44</v>
      </c>
      <c r="C471" s="50" t="s">
        <v>197</v>
      </c>
      <c r="D471" s="50" t="s">
        <v>104</v>
      </c>
      <c r="E471" s="50">
        <v>19</v>
      </c>
      <c r="F471" s="50">
        <v>20</v>
      </c>
      <c r="G471" s="50">
        <v>-1</v>
      </c>
    </row>
    <row r="472" spans="1:7" x14ac:dyDescent="0.25">
      <c r="A472" s="50">
        <v>2091</v>
      </c>
      <c r="B472" s="50" t="s">
        <v>35</v>
      </c>
      <c r="C472" s="50" t="s">
        <v>608</v>
      </c>
      <c r="D472" s="50" t="s">
        <v>40</v>
      </c>
      <c r="E472" s="50">
        <v>1</v>
      </c>
      <c r="F472" s="50">
        <v>1</v>
      </c>
      <c r="G472" s="50">
        <v>0</v>
      </c>
    </row>
    <row r="473" spans="1:7" x14ac:dyDescent="0.25">
      <c r="A473" s="50">
        <v>374</v>
      </c>
      <c r="B473" s="50" t="s">
        <v>44</v>
      </c>
      <c r="C473" s="50" t="s">
        <v>166</v>
      </c>
      <c r="D473" s="50" t="s">
        <v>54</v>
      </c>
      <c r="E473" s="50">
        <v>10</v>
      </c>
      <c r="F473" s="50">
        <v>8</v>
      </c>
      <c r="G473" s="50">
        <v>2</v>
      </c>
    </row>
    <row r="474" spans="1:7" x14ac:dyDescent="0.25">
      <c r="A474" s="50">
        <v>536</v>
      </c>
      <c r="B474" s="50" t="s">
        <v>49</v>
      </c>
      <c r="C474" s="50" t="s">
        <v>219</v>
      </c>
      <c r="D474" s="50" t="s">
        <v>96</v>
      </c>
      <c r="E474" s="50">
        <v>14</v>
      </c>
      <c r="F474" s="50">
        <v>15</v>
      </c>
      <c r="G474" s="50">
        <v>-1</v>
      </c>
    </row>
    <row r="475" spans="1:7" x14ac:dyDescent="0.25">
      <c r="A475" s="50">
        <v>2256</v>
      </c>
      <c r="B475" s="50" t="s">
        <v>35</v>
      </c>
      <c r="C475" s="50" t="s">
        <v>397</v>
      </c>
      <c r="D475" s="50" t="s">
        <v>41</v>
      </c>
      <c r="E475" s="50">
        <v>1</v>
      </c>
      <c r="F475" s="50">
        <v>1</v>
      </c>
      <c r="G475" s="50">
        <v>0</v>
      </c>
    </row>
    <row r="476" spans="1:7" x14ac:dyDescent="0.25">
      <c r="A476" s="50">
        <v>599</v>
      </c>
      <c r="B476" s="50" t="s">
        <v>44</v>
      </c>
      <c r="C476" s="50" t="s">
        <v>633</v>
      </c>
      <c r="D476" s="50" t="s">
        <v>67</v>
      </c>
      <c r="E476" s="50">
        <v>1</v>
      </c>
      <c r="F476" s="50">
        <v>1</v>
      </c>
      <c r="G476" s="50">
        <v>0</v>
      </c>
    </row>
    <row r="477" spans="1:7" x14ac:dyDescent="0.25">
      <c r="A477" s="50">
        <v>2065</v>
      </c>
      <c r="B477" s="50" t="s">
        <v>44</v>
      </c>
      <c r="C477" s="50" t="s">
        <v>338</v>
      </c>
      <c r="D477" s="50" t="s">
        <v>98</v>
      </c>
      <c r="E477" s="50">
        <v>10</v>
      </c>
      <c r="F477" s="50">
        <v>10</v>
      </c>
      <c r="G477" s="50">
        <v>0</v>
      </c>
    </row>
    <row r="478" spans="1:7" x14ac:dyDescent="0.25">
      <c r="A478" s="50">
        <v>2770</v>
      </c>
      <c r="B478" s="50" t="s">
        <v>35</v>
      </c>
      <c r="C478" s="50" t="s">
        <v>607</v>
      </c>
      <c r="D478" s="50" t="s">
        <v>133</v>
      </c>
      <c r="E478" s="50">
        <v>1</v>
      </c>
      <c r="F478" s="50">
        <v>1</v>
      </c>
      <c r="G478" s="50">
        <v>0</v>
      </c>
    </row>
    <row r="479" spans="1:7" x14ac:dyDescent="0.25">
      <c r="A479" s="50">
        <v>2814</v>
      </c>
      <c r="B479" s="50" t="s">
        <v>35</v>
      </c>
      <c r="C479" s="50" t="s">
        <v>527</v>
      </c>
      <c r="D479" s="50" t="s">
        <v>483</v>
      </c>
      <c r="E479" s="50">
        <v>3</v>
      </c>
      <c r="F479" s="50">
        <v>6</v>
      </c>
      <c r="G479" s="50">
        <v>-3</v>
      </c>
    </row>
    <row r="480" spans="1:7" x14ac:dyDescent="0.25">
      <c r="A480" s="50">
        <v>156</v>
      </c>
      <c r="B480" s="50" t="s">
        <v>49</v>
      </c>
      <c r="C480" s="50" t="s">
        <v>91</v>
      </c>
      <c r="D480" s="50" t="s">
        <v>69</v>
      </c>
      <c r="E480" s="50">
        <v>1</v>
      </c>
      <c r="F480" s="50">
        <v>4</v>
      </c>
      <c r="G480" s="50">
        <v>-3</v>
      </c>
    </row>
    <row r="481" spans="1:7" x14ac:dyDescent="0.25">
      <c r="A481" s="50">
        <v>644</v>
      </c>
      <c r="B481" s="50" t="s">
        <v>44</v>
      </c>
      <c r="C481" s="50" t="s">
        <v>250</v>
      </c>
      <c r="D481" s="50" t="s">
        <v>54</v>
      </c>
      <c r="E481" s="50">
        <v>5</v>
      </c>
      <c r="F481" s="50">
        <v>10</v>
      </c>
      <c r="G481" s="50">
        <v>-5</v>
      </c>
    </row>
    <row r="482" spans="1:7" x14ac:dyDescent="0.25">
      <c r="A482" s="50">
        <v>2826</v>
      </c>
      <c r="B482" s="50" t="s">
        <v>49</v>
      </c>
      <c r="C482" s="50" t="s">
        <v>493</v>
      </c>
      <c r="D482" s="50" t="s">
        <v>67</v>
      </c>
      <c r="E482" s="50">
        <v>11</v>
      </c>
      <c r="F482" s="50">
        <v>12</v>
      </c>
      <c r="G482" s="50">
        <v>-1</v>
      </c>
    </row>
    <row r="483" spans="1:7" x14ac:dyDescent="0.25">
      <c r="A483" s="50">
        <v>568</v>
      </c>
      <c r="B483" s="50" t="s">
        <v>49</v>
      </c>
      <c r="C483" s="50" t="s">
        <v>229</v>
      </c>
      <c r="D483" s="50" t="s">
        <v>98</v>
      </c>
      <c r="E483" s="50">
        <v>36</v>
      </c>
      <c r="F483" s="50">
        <v>28</v>
      </c>
      <c r="G483" s="50">
        <v>8</v>
      </c>
    </row>
    <row r="484" spans="1:7" x14ac:dyDescent="0.25">
      <c r="A484" s="50">
        <v>118</v>
      </c>
      <c r="B484" s="50" t="s">
        <v>44</v>
      </c>
      <c r="C484" s="50" t="s">
        <v>77</v>
      </c>
      <c r="D484" s="50" t="s">
        <v>59</v>
      </c>
      <c r="E484" s="50">
        <v>5</v>
      </c>
      <c r="F484" s="50">
        <v>7</v>
      </c>
      <c r="G484" s="50">
        <v>-2</v>
      </c>
    </row>
    <row r="485" spans="1:7" x14ac:dyDescent="0.25">
      <c r="A485" s="50">
        <v>329</v>
      </c>
      <c r="B485" s="50" t="s">
        <v>38</v>
      </c>
      <c r="C485" s="50" t="s">
        <v>148</v>
      </c>
      <c r="D485" s="50" t="s">
        <v>133</v>
      </c>
      <c r="E485" s="50">
        <v>8</v>
      </c>
      <c r="F485" s="50">
        <v>8</v>
      </c>
      <c r="G485" s="50">
        <v>0</v>
      </c>
    </row>
    <row r="486" spans="1:7" x14ac:dyDescent="0.25">
      <c r="A486" s="50">
        <v>1843</v>
      </c>
      <c r="B486" s="50" t="s">
        <v>35</v>
      </c>
      <c r="C486" s="50" t="s">
        <v>605</v>
      </c>
      <c r="D486" s="50" t="s">
        <v>59</v>
      </c>
      <c r="E486" s="50">
        <v>7</v>
      </c>
      <c r="F486" s="50">
        <v>1</v>
      </c>
      <c r="G486" s="50">
        <v>6</v>
      </c>
    </row>
    <row r="487" spans="1:7" x14ac:dyDescent="0.25">
      <c r="A487" s="50">
        <v>611</v>
      </c>
      <c r="B487" s="50" t="s">
        <v>35</v>
      </c>
      <c r="C487" s="50" t="s">
        <v>240</v>
      </c>
      <c r="D487" s="50" t="s">
        <v>46</v>
      </c>
      <c r="E487" s="50">
        <v>1</v>
      </c>
      <c r="F487" s="50">
        <v>1</v>
      </c>
      <c r="G487" s="50">
        <v>0</v>
      </c>
    </row>
    <row r="488" spans="1:7" x14ac:dyDescent="0.25">
      <c r="A488" s="50">
        <v>386</v>
      </c>
      <c r="B488" s="50" t="s">
        <v>35</v>
      </c>
      <c r="C488" s="50" t="s">
        <v>172</v>
      </c>
      <c r="D488" s="50" t="s">
        <v>98</v>
      </c>
      <c r="E488" s="50">
        <v>1</v>
      </c>
      <c r="F488" s="50">
        <v>1</v>
      </c>
      <c r="G488" s="50">
        <v>0</v>
      </c>
    </row>
    <row r="489" spans="1:7" x14ac:dyDescent="0.25">
      <c r="A489" s="50">
        <v>2073</v>
      </c>
      <c r="B489" s="50" t="s">
        <v>49</v>
      </c>
      <c r="C489" s="50" t="s">
        <v>339</v>
      </c>
      <c r="D489" s="50" t="s">
        <v>102</v>
      </c>
      <c r="E489" s="50">
        <v>2</v>
      </c>
      <c r="F489" s="50">
        <v>2</v>
      </c>
      <c r="G489" s="50">
        <v>0</v>
      </c>
    </row>
    <row r="490" spans="1:7" x14ac:dyDescent="0.25">
      <c r="A490" s="50">
        <v>2287</v>
      </c>
      <c r="B490" s="50" t="s">
        <v>44</v>
      </c>
      <c r="C490" s="50" t="s">
        <v>408</v>
      </c>
      <c r="D490" s="50" t="s">
        <v>98</v>
      </c>
      <c r="E490" s="50">
        <v>16</v>
      </c>
      <c r="F490" s="50">
        <v>14</v>
      </c>
      <c r="G490" s="50">
        <v>2</v>
      </c>
    </row>
    <row r="491" spans="1:7" x14ac:dyDescent="0.25">
      <c r="A491" s="50">
        <v>261</v>
      </c>
      <c r="B491" s="50" t="s">
        <v>38</v>
      </c>
      <c r="C491" s="50" t="s">
        <v>124</v>
      </c>
      <c r="D491" s="50" t="s">
        <v>96</v>
      </c>
      <c r="E491" s="50">
        <v>1</v>
      </c>
      <c r="F491" s="50">
        <v>4</v>
      </c>
      <c r="G491" s="50">
        <v>-3</v>
      </c>
    </row>
    <row r="492" spans="1:7" x14ac:dyDescent="0.25">
      <c r="A492" s="50">
        <v>2752</v>
      </c>
      <c r="B492" s="50" t="s">
        <v>38</v>
      </c>
      <c r="C492" s="50" t="s">
        <v>574</v>
      </c>
      <c r="D492" s="50" t="s">
        <v>483</v>
      </c>
      <c r="E492" s="50">
        <v>2</v>
      </c>
      <c r="F492" s="50">
        <v>3</v>
      </c>
      <c r="G492" s="50">
        <v>-1</v>
      </c>
    </row>
    <row r="493" spans="1:7" x14ac:dyDescent="0.25">
      <c r="A493" s="50">
        <v>2739</v>
      </c>
      <c r="B493" s="50" t="s">
        <v>38</v>
      </c>
      <c r="C493" s="50" t="s">
        <v>541</v>
      </c>
      <c r="D493" s="50" t="s">
        <v>43</v>
      </c>
      <c r="E493" s="50">
        <v>1</v>
      </c>
      <c r="F493" s="50">
        <v>5</v>
      </c>
      <c r="G493" s="50">
        <v>-4</v>
      </c>
    </row>
    <row r="494" spans="1:7" x14ac:dyDescent="0.25">
      <c r="A494" s="50">
        <v>490</v>
      </c>
      <c r="B494" s="50" t="s">
        <v>38</v>
      </c>
      <c r="C494" s="50" t="s">
        <v>204</v>
      </c>
      <c r="D494" s="50" t="s">
        <v>41</v>
      </c>
      <c r="E494" s="50">
        <v>1</v>
      </c>
      <c r="F494" s="50">
        <v>3</v>
      </c>
      <c r="G494" s="50">
        <v>-2</v>
      </c>
    </row>
    <row r="495" spans="1:7" x14ac:dyDescent="0.25">
      <c r="A495" s="50">
        <v>387</v>
      </c>
      <c r="B495" s="50" t="s">
        <v>35</v>
      </c>
      <c r="C495" s="50" t="s">
        <v>173</v>
      </c>
      <c r="D495" s="50" t="s">
        <v>40</v>
      </c>
      <c r="E495" s="50">
        <v>1</v>
      </c>
      <c r="F495" s="50">
        <v>1</v>
      </c>
      <c r="G495" s="50">
        <v>0</v>
      </c>
    </row>
    <row r="496" spans="1:7" x14ac:dyDescent="0.25">
      <c r="A496" s="50">
        <v>2852</v>
      </c>
      <c r="B496" s="50" t="s">
        <v>44</v>
      </c>
      <c r="C496" s="50" t="s">
        <v>627</v>
      </c>
      <c r="D496" s="50" t="s">
        <v>84</v>
      </c>
      <c r="E496" s="50">
        <v>1</v>
      </c>
      <c r="F496" s="50">
        <v>1</v>
      </c>
      <c r="G496" s="50">
        <v>0</v>
      </c>
    </row>
    <row r="497" spans="1:7" x14ac:dyDescent="0.25">
      <c r="A497" s="50">
        <v>2013</v>
      </c>
      <c r="B497" s="50" t="s">
        <v>49</v>
      </c>
      <c r="C497" s="50" t="s">
        <v>330</v>
      </c>
      <c r="D497" s="50" t="s">
        <v>102</v>
      </c>
      <c r="E497" s="50">
        <v>2</v>
      </c>
      <c r="F497" s="50">
        <v>2</v>
      </c>
      <c r="G497" s="50">
        <v>0</v>
      </c>
    </row>
    <row r="498" spans="1:7" x14ac:dyDescent="0.25">
      <c r="A498" s="50">
        <v>2182</v>
      </c>
      <c r="B498" s="50" t="s">
        <v>38</v>
      </c>
      <c r="C498" s="50" t="s">
        <v>462</v>
      </c>
      <c r="D498" s="50" t="s">
        <v>69</v>
      </c>
      <c r="E498" s="50">
        <v>1</v>
      </c>
      <c r="F498" s="50">
        <v>1</v>
      </c>
      <c r="G498" s="50">
        <v>0</v>
      </c>
    </row>
    <row r="499" spans="1:7" x14ac:dyDescent="0.25">
      <c r="A499" s="50">
        <v>2868</v>
      </c>
      <c r="B499" s="50" t="s">
        <v>49</v>
      </c>
      <c r="C499" s="50" t="s">
        <v>498</v>
      </c>
      <c r="D499" s="50" t="s">
        <v>43</v>
      </c>
      <c r="E499" s="50">
        <v>9</v>
      </c>
      <c r="F499" s="50">
        <v>11</v>
      </c>
      <c r="G499" s="50">
        <v>-2</v>
      </c>
    </row>
    <row r="500" spans="1:7" x14ac:dyDescent="0.25">
      <c r="A500" s="50">
        <v>438</v>
      </c>
      <c r="B500" s="50" t="s">
        <v>44</v>
      </c>
      <c r="C500" s="50" t="s">
        <v>189</v>
      </c>
      <c r="D500" s="50" t="s">
        <v>484</v>
      </c>
      <c r="E500" s="50">
        <v>7</v>
      </c>
      <c r="F500" s="50">
        <v>8</v>
      </c>
      <c r="G500" s="50">
        <v>-1</v>
      </c>
    </row>
    <row r="501" spans="1:7" x14ac:dyDescent="0.25">
      <c r="A501" s="50">
        <v>119</v>
      </c>
      <c r="B501" s="50" t="s">
        <v>44</v>
      </c>
      <c r="C501" s="50" t="s">
        <v>78</v>
      </c>
      <c r="D501" s="50" t="s">
        <v>69</v>
      </c>
      <c r="E501" s="50">
        <v>4</v>
      </c>
      <c r="F501" s="50">
        <v>6</v>
      </c>
      <c r="G501" s="50">
        <v>-2</v>
      </c>
    </row>
    <row r="502" spans="1:7" x14ac:dyDescent="0.25">
      <c r="A502" s="50">
        <v>238</v>
      </c>
      <c r="B502" s="50" t="s">
        <v>44</v>
      </c>
      <c r="C502" s="50" t="s">
        <v>114</v>
      </c>
      <c r="D502" s="50" t="s">
        <v>108</v>
      </c>
      <c r="E502" s="50">
        <v>10</v>
      </c>
      <c r="F502" s="50">
        <v>7</v>
      </c>
      <c r="G502" s="50">
        <v>3</v>
      </c>
    </row>
    <row r="503" spans="1:7" x14ac:dyDescent="0.25">
      <c r="A503" s="50">
        <v>60</v>
      </c>
      <c r="B503" s="50" t="s">
        <v>44</v>
      </c>
      <c r="C503" s="50" t="s">
        <v>63</v>
      </c>
      <c r="D503" s="50" t="s">
        <v>54</v>
      </c>
      <c r="E503" s="50">
        <v>4</v>
      </c>
      <c r="F503" s="50">
        <v>4</v>
      </c>
      <c r="G503" s="50">
        <v>0</v>
      </c>
    </row>
    <row r="504" spans="1:7" x14ac:dyDescent="0.25">
      <c r="A504" s="50">
        <v>718</v>
      </c>
      <c r="B504" s="50" t="s">
        <v>49</v>
      </c>
      <c r="C504" s="50" t="s">
        <v>463</v>
      </c>
      <c r="D504" s="50" t="s">
        <v>483</v>
      </c>
      <c r="E504" s="50">
        <v>2</v>
      </c>
      <c r="F504" s="50">
        <v>2</v>
      </c>
      <c r="G504" s="50">
        <v>0</v>
      </c>
    </row>
    <row r="505" spans="1:7" x14ac:dyDescent="0.25">
      <c r="A505" s="50">
        <v>2169</v>
      </c>
      <c r="B505" s="50" t="s">
        <v>38</v>
      </c>
      <c r="C505" s="50" t="s">
        <v>363</v>
      </c>
      <c r="D505" s="50" t="s">
        <v>40</v>
      </c>
      <c r="E505" s="50">
        <v>9</v>
      </c>
      <c r="F505" s="50">
        <v>8</v>
      </c>
      <c r="G505" s="50">
        <v>1</v>
      </c>
    </row>
    <row r="506" spans="1:7" x14ac:dyDescent="0.25">
      <c r="A506" s="50">
        <v>2076</v>
      </c>
      <c r="B506" s="50" t="s">
        <v>44</v>
      </c>
      <c r="C506" s="50" t="s">
        <v>341</v>
      </c>
      <c r="D506" s="50" t="s">
        <v>62</v>
      </c>
      <c r="E506" s="50">
        <v>5</v>
      </c>
      <c r="F506" s="50">
        <v>6</v>
      </c>
      <c r="G506" s="50">
        <v>-1</v>
      </c>
    </row>
    <row r="507" spans="1:7" x14ac:dyDescent="0.25">
      <c r="A507" s="50">
        <v>2318</v>
      </c>
      <c r="B507" s="50" t="s">
        <v>38</v>
      </c>
      <c r="C507" s="50" t="s">
        <v>423</v>
      </c>
      <c r="D507" s="50" t="s">
        <v>102</v>
      </c>
      <c r="E507" s="50">
        <v>4</v>
      </c>
      <c r="F507" s="50">
        <v>4</v>
      </c>
      <c r="G507" s="50">
        <v>0</v>
      </c>
    </row>
    <row r="508" spans="1:7" x14ac:dyDescent="0.25">
      <c r="A508" s="50">
        <v>2856</v>
      </c>
      <c r="B508" s="50" t="s">
        <v>44</v>
      </c>
      <c r="C508" s="50" t="s">
        <v>550</v>
      </c>
      <c r="D508" s="50" t="s">
        <v>59</v>
      </c>
      <c r="E508" s="50">
        <v>4</v>
      </c>
      <c r="F508" s="50">
        <v>5</v>
      </c>
      <c r="G508" s="50">
        <v>-1</v>
      </c>
    </row>
    <row r="509" spans="1:7" x14ac:dyDescent="0.25">
      <c r="A509" s="50">
        <v>2279</v>
      </c>
      <c r="B509" s="50" t="s">
        <v>38</v>
      </c>
      <c r="C509" s="50" t="s">
        <v>404</v>
      </c>
      <c r="D509" s="50" t="s">
        <v>46</v>
      </c>
      <c r="E509" s="50">
        <v>7</v>
      </c>
      <c r="F509" s="50">
        <v>6</v>
      </c>
      <c r="G509" s="50">
        <v>1</v>
      </c>
    </row>
    <row r="510" spans="1:7" x14ac:dyDescent="0.25">
      <c r="A510" s="50">
        <v>460</v>
      </c>
      <c r="B510" s="50" t="s">
        <v>38</v>
      </c>
      <c r="C510" s="50" t="s">
        <v>193</v>
      </c>
      <c r="D510" s="50" t="s">
        <v>40</v>
      </c>
      <c r="E510" s="50">
        <v>10</v>
      </c>
      <c r="F510" s="50">
        <v>10</v>
      </c>
      <c r="G510" s="50">
        <v>0</v>
      </c>
    </row>
    <row r="511" spans="1:7" x14ac:dyDescent="0.25">
      <c r="A511" s="50">
        <v>76</v>
      </c>
      <c r="B511" s="50" t="s">
        <v>38</v>
      </c>
      <c r="C511" s="50" t="s">
        <v>64</v>
      </c>
      <c r="D511" s="50" t="s">
        <v>483</v>
      </c>
      <c r="E511" s="50">
        <v>5</v>
      </c>
      <c r="F511" s="50">
        <v>5</v>
      </c>
      <c r="G511" s="50">
        <v>0</v>
      </c>
    </row>
    <row r="512" spans="1:7" x14ac:dyDescent="0.25">
      <c r="A512" s="50">
        <v>4307</v>
      </c>
      <c r="B512" s="50" t="s">
        <v>38</v>
      </c>
      <c r="C512" s="50" t="s">
        <v>671</v>
      </c>
      <c r="D512" s="50" t="s">
        <v>59</v>
      </c>
      <c r="E512" s="50">
        <v>6</v>
      </c>
      <c r="F512" s="50">
        <v>1</v>
      </c>
      <c r="G512" s="50">
        <v>5</v>
      </c>
    </row>
    <row r="513" spans="1:7" x14ac:dyDescent="0.25">
      <c r="A513" s="50">
        <v>621</v>
      </c>
      <c r="B513" s="50" t="s">
        <v>44</v>
      </c>
      <c r="C513" s="50" t="s">
        <v>242</v>
      </c>
      <c r="D513" s="50" t="s">
        <v>133</v>
      </c>
      <c r="E513" s="50">
        <v>10</v>
      </c>
      <c r="F513" s="50">
        <v>9</v>
      </c>
      <c r="G513" s="50">
        <v>1</v>
      </c>
    </row>
    <row r="514" spans="1:7" x14ac:dyDescent="0.25">
      <c r="A514" s="50">
        <v>2790</v>
      </c>
      <c r="B514" s="50" t="s">
        <v>35</v>
      </c>
      <c r="C514" s="50" t="s">
        <v>613</v>
      </c>
      <c r="D514" s="50" t="s">
        <v>108</v>
      </c>
      <c r="E514" s="50">
        <v>1</v>
      </c>
      <c r="F514" s="50">
        <v>1</v>
      </c>
      <c r="G514" s="50">
        <v>0</v>
      </c>
    </row>
    <row r="515" spans="1:7" x14ac:dyDescent="0.25">
      <c r="A515" s="50">
        <v>54</v>
      </c>
      <c r="B515" s="50" t="s">
        <v>38</v>
      </c>
      <c r="C515" s="50" t="s">
        <v>58</v>
      </c>
      <c r="D515" s="50" t="s">
        <v>69</v>
      </c>
      <c r="E515" s="50">
        <v>6</v>
      </c>
      <c r="F515" s="50">
        <v>5</v>
      </c>
      <c r="G515" s="50">
        <v>1</v>
      </c>
    </row>
    <row r="516" spans="1:7" x14ac:dyDescent="0.25">
      <c r="A516" s="50">
        <v>2108</v>
      </c>
      <c r="B516" s="50" t="s">
        <v>49</v>
      </c>
      <c r="C516" s="50" t="s">
        <v>635</v>
      </c>
      <c r="D516" s="50" t="s">
        <v>133</v>
      </c>
      <c r="E516" s="50">
        <v>1</v>
      </c>
      <c r="F516" s="50">
        <v>1</v>
      </c>
      <c r="G516" s="50">
        <v>0</v>
      </c>
    </row>
    <row r="517" spans="1:7" x14ac:dyDescent="0.25">
      <c r="A517" s="50">
        <v>2297</v>
      </c>
      <c r="B517" s="50" t="s">
        <v>35</v>
      </c>
      <c r="C517" s="50" t="s">
        <v>414</v>
      </c>
      <c r="D517" s="50" t="s">
        <v>43</v>
      </c>
      <c r="E517" s="50">
        <v>1</v>
      </c>
      <c r="F517" s="50">
        <v>1</v>
      </c>
      <c r="G517" s="50">
        <v>0</v>
      </c>
    </row>
    <row r="518" spans="1:7" x14ac:dyDescent="0.25">
      <c r="A518" s="50">
        <v>294</v>
      </c>
      <c r="B518" s="50" t="s">
        <v>38</v>
      </c>
      <c r="C518" s="50" t="s">
        <v>135</v>
      </c>
      <c r="D518" s="50" t="s">
        <v>104</v>
      </c>
      <c r="E518" s="50">
        <v>6</v>
      </c>
      <c r="F518" s="50">
        <v>8</v>
      </c>
      <c r="G518" s="50">
        <v>-2</v>
      </c>
    </row>
    <row r="519" spans="1:7" x14ac:dyDescent="0.25">
      <c r="A519" s="50">
        <v>2775</v>
      </c>
      <c r="B519" s="50" t="s">
        <v>44</v>
      </c>
      <c r="C519" s="50" t="s">
        <v>479</v>
      </c>
      <c r="D519" s="50" t="s">
        <v>62</v>
      </c>
      <c r="E519" s="50">
        <v>14</v>
      </c>
      <c r="F519" s="50">
        <v>14</v>
      </c>
      <c r="G519" s="50">
        <v>0</v>
      </c>
    </row>
    <row r="520" spans="1:7" x14ac:dyDescent="0.25">
      <c r="A520" s="50">
        <v>630</v>
      </c>
      <c r="B520" s="50" t="s">
        <v>38</v>
      </c>
      <c r="C520" s="50" t="s">
        <v>245</v>
      </c>
      <c r="D520" s="50" t="s">
        <v>98</v>
      </c>
      <c r="E520" s="50">
        <v>4</v>
      </c>
      <c r="F520" s="50">
        <v>3</v>
      </c>
      <c r="G520" s="50">
        <v>1</v>
      </c>
    </row>
    <row r="521" spans="1:7" x14ac:dyDescent="0.25">
      <c r="A521" s="50">
        <v>491</v>
      </c>
      <c r="B521" s="50" t="s">
        <v>38</v>
      </c>
      <c r="C521" s="50" t="s">
        <v>205</v>
      </c>
      <c r="D521" s="50" t="s">
        <v>490</v>
      </c>
      <c r="E521" s="50">
        <v>3</v>
      </c>
      <c r="F521" s="50">
        <v>4</v>
      </c>
      <c r="G521" s="50">
        <v>-1</v>
      </c>
    </row>
    <row r="522" spans="1:7" x14ac:dyDescent="0.25">
      <c r="A522" s="50">
        <v>2304</v>
      </c>
      <c r="B522" s="50" t="s">
        <v>49</v>
      </c>
      <c r="C522" s="50" t="s">
        <v>416</v>
      </c>
      <c r="D522" s="50" t="s">
        <v>96</v>
      </c>
      <c r="E522" s="50">
        <v>1</v>
      </c>
      <c r="F522" s="50">
        <v>1</v>
      </c>
      <c r="G522" s="50">
        <v>0</v>
      </c>
    </row>
    <row r="523" spans="1:7" x14ac:dyDescent="0.25">
      <c r="A523" s="50">
        <v>790</v>
      </c>
      <c r="B523" s="50" t="s">
        <v>38</v>
      </c>
      <c r="C523" s="50" t="s">
        <v>275</v>
      </c>
      <c r="D523" s="50" t="s">
        <v>67</v>
      </c>
      <c r="E523" s="50">
        <v>5</v>
      </c>
      <c r="F523" s="50">
        <v>6</v>
      </c>
      <c r="G523" s="50">
        <v>-1</v>
      </c>
    </row>
    <row r="524" spans="1:7" x14ac:dyDescent="0.25">
      <c r="A524" s="50">
        <v>209</v>
      </c>
      <c r="B524" s="50" t="s">
        <v>44</v>
      </c>
      <c r="C524" s="50" t="s">
        <v>672</v>
      </c>
      <c r="D524" s="50" t="s">
        <v>490</v>
      </c>
      <c r="E524" s="50">
        <v>1</v>
      </c>
      <c r="F524" s="50">
        <v>1</v>
      </c>
      <c r="G524" s="50">
        <v>0</v>
      </c>
    </row>
    <row r="525" spans="1:7" x14ac:dyDescent="0.25">
      <c r="A525" s="50">
        <v>479</v>
      </c>
      <c r="B525" s="50" t="s">
        <v>49</v>
      </c>
      <c r="C525" s="50" t="s">
        <v>673</v>
      </c>
      <c r="D525" s="50" t="s">
        <v>59</v>
      </c>
      <c r="E525" s="50">
        <v>12</v>
      </c>
      <c r="F525" s="50">
        <v>11</v>
      </c>
      <c r="G525" s="50">
        <v>1</v>
      </c>
    </row>
    <row r="526" spans="1:7" x14ac:dyDescent="0.25">
      <c r="A526" s="50">
        <v>2058</v>
      </c>
      <c r="B526" s="50" t="s">
        <v>44</v>
      </c>
      <c r="C526" s="50" t="s">
        <v>464</v>
      </c>
      <c r="D526" s="50" t="s">
        <v>37</v>
      </c>
      <c r="E526" s="50">
        <v>4</v>
      </c>
      <c r="F526" s="50">
        <v>4</v>
      </c>
      <c r="G526" s="50">
        <v>0</v>
      </c>
    </row>
    <row r="527" spans="1:7" x14ac:dyDescent="0.25">
      <c r="A527" s="50">
        <v>2646</v>
      </c>
      <c r="B527" s="50" t="s">
        <v>44</v>
      </c>
      <c r="C527" s="50" t="s">
        <v>433</v>
      </c>
      <c r="D527" s="50" t="s">
        <v>67</v>
      </c>
      <c r="E527" s="50">
        <v>6</v>
      </c>
      <c r="F527" s="50">
        <v>9</v>
      </c>
      <c r="G527" s="50">
        <v>-3</v>
      </c>
    </row>
    <row r="528" spans="1:7" x14ac:dyDescent="0.25">
      <c r="A528" s="50">
        <v>537</v>
      </c>
      <c r="B528" s="50" t="s">
        <v>49</v>
      </c>
      <c r="C528" s="50" t="s">
        <v>674</v>
      </c>
      <c r="D528" s="50" t="s">
        <v>54</v>
      </c>
      <c r="E528" s="50">
        <v>10</v>
      </c>
      <c r="F528" s="50">
        <v>11</v>
      </c>
      <c r="G528" s="50">
        <v>-1</v>
      </c>
    </row>
    <row r="529" spans="1:7" x14ac:dyDescent="0.25">
      <c r="A529" s="50">
        <v>2743</v>
      </c>
      <c r="B529" s="50" t="s">
        <v>49</v>
      </c>
      <c r="C529" s="50" t="s">
        <v>505</v>
      </c>
      <c r="D529" s="50" t="s">
        <v>54</v>
      </c>
      <c r="E529" s="50">
        <v>13</v>
      </c>
      <c r="F529" s="50">
        <v>10</v>
      </c>
      <c r="G529" s="50">
        <v>3</v>
      </c>
    </row>
    <row r="530" spans="1:7" x14ac:dyDescent="0.25">
      <c r="A530" s="50">
        <v>262</v>
      </c>
      <c r="B530" s="50" t="s">
        <v>38</v>
      </c>
      <c r="C530" s="50" t="s">
        <v>125</v>
      </c>
      <c r="D530" s="50" t="s">
        <v>84</v>
      </c>
      <c r="E530" s="50">
        <v>4</v>
      </c>
      <c r="F530" s="50">
        <v>3</v>
      </c>
      <c r="G530" s="50">
        <v>1</v>
      </c>
    </row>
    <row r="531" spans="1:7" x14ac:dyDescent="0.25">
      <c r="A531" s="50">
        <v>2249</v>
      </c>
      <c r="B531" s="50" t="s">
        <v>35</v>
      </c>
      <c r="C531" s="50" t="s">
        <v>396</v>
      </c>
      <c r="D531" s="50" t="s">
        <v>54</v>
      </c>
      <c r="E531" s="50">
        <v>1</v>
      </c>
      <c r="F531" s="50">
        <v>1</v>
      </c>
      <c r="G531" s="50">
        <v>0</v>
      </c>
    </row>
    <row r="532" spans="1:7" x14ac:dyDescent="0.25">
      <c r="A532" s="50">
        <v>150</v>
      </c>
      <c r="B532" s="50" t="s">
        <v>44</v>
      </c>
      <c r="C532" s="50" t="s">
        <v>89</v>
      </c>
      <c r="D532" s="50" t="s">
        <v>98</v>
      </c>
      <c r="E532" s="50">
        <v>12</v>
      </c>
      <c r="F532" s="50">
        <v>10</v>
      </c>
      <c r="G532" s="50">
        <v>2</v>
      </c>
    </row>
    <row r="533" spans="1:7" x14ac:dyDescent="0.25">
      <c r="A533" s="50">
        <v>2127</v>
      </c>
      <c r="B533" s="50" t="s">
        <v>35</v>
      </c>
      <c r="C533" s="50" t="s">
        <v>349</v>
      </c>
      <c r="D533" s="50" t="s">
        <v>102</v>
      </c>
      <c r="E533" s="50">
        <v>1</v>
      </c>
      <c r="F533" s="50">
        <v>1</v>
      </c>
      <c r="G533" s="50">
        <v>0</v>
      </c>
    </row>
    <row r="534" spans="1:7" x14ac:dyDescent="0.25">
      <c r="A534" s="50">
        <v>1882</v>
      </c>
      <c r="B534" s="50" t="s">
        <v>49</v>
      </c>
      <c r="C534" s="50" t="s">
        <v>300</v>
      </c>
      <c r="D534" s="50" t="s">
        <v>98</v>
      </c>
      <c r="E534" s="50">
        <v>6</v>
      </c>
      <c r="F534" s="50">
        <v>9</v>
      </c>
      <c r="G534" s="50">
        <v>-3</v>
      </c>
    </row>
    <row r="535" spans="1:7" x14ac:dyDescent="0.25">
      <c r="A535" s="50">
        <v>2137</v>
      </c>
      <c r="B535" s="50" t="s">
        <v>49</v>
      </c>
      <c r="C535" s="50" t="s">
        <v>465</v>
      </c>
      <c r="D535" s="50" t="s">
        <v>102</v>
      </c>
      <c r="E535" s="50">
        <v>1</v>
      </c>
      <c r="F535" s="50">
        <v>1</v>
      </c>
      <c r="G535" s="50">
        <v>0</v>
      </c>
    </row>
    <row r="536" spans="1:7" x14ac:dyDescent="0.25">
      <c r="A536" s="50">
        <v>2803</v>
      </c>
      <c r="B536" s="50" t="s">
        <v>44</v>
      </c>
      <c r="C536" s="50" t="s">
        <v>692</v>
      </c>
      <c r="D536" s="50" t="s">
        <v>484</v>
      </c>
      <c r="E536" s="50">
        <v>3</v>
      </c>
      <c r="F536" s="50">
        <v>3</v>
      </c>
      <c r="G536" s="50">
        <v>0</v>
      </c>
    </row>
    <row r="537" spans="1:7" x14ac:dyDescent="0.25">
      <c r="A537" s="50">
        <v>273</v>
      </c>
      <c r="B537" s="50" t="s">
        <v>38</v>
      </c>
      <c r="C537" s="50" t="s">
        <v>675</v>
      </c>
      <c r="D537" s="50" t="s">
        <v>69</v>
      </c>
      <c r="E537" s="50">
        <v>4</v>
      </c>
      <c r="F537" s="50">
        <v>4</v>
      </c>
      <c r="G537" s="50">
        <v>0</v>
      </c>
    </row>
    <row r="538" spans="1:7" x14ac:dyDescent="0.25">
      <c r="A538" s="50">
        <v>4335</v>
      </c>
      <c r="B538" s="50" t="s">
        <v>49</v>
      </c>
      <c r="C538" s="50" t="s">
        <v>676</v>
      </c>
      <c r="D538" s="50" t="s">
        <v>484</v>
      </c>
      <c r="E538" s="50">
        <v>3</v>
      </c>
      <c r="F538" s="50">
        <v>3</v>
      </c>
      <c r="G538" s="50">
        <v>0</v>
      </c>
    </row>
    <row r="539" spans="1:7" x14ac:dyDescent="0.25">
      <c r="A539" s="50">
        <v>2265</v>
      </c>
      <c r="B539" s="50" t="s">
        <v>44</v>
      </c>
      <c r="C539" s="50" t="s">
        <v>400</v>
      </c>
      <c r="D539" s="50" t="s">
        <v>41</v>
      </c>
      <c r="E539" s="50">
        <v>6</v>
      </c>
      <c r="F539" s="50">
        <v>4</v>
      </c>
      <c r="G539" s="50">
        <v>2</v>
      </c>
    </row>
    <row r="540" spans="1:7" x14ac:dyDescent="0.25">
      <c r="A540" s="50">
        <v>1974</v>
      </c>
      <c r="B540" s="50" t="s">
        <v>49</v>
      </c>
      <c r="C540" s="50" t="s">
        <v>313</v>
      </c>
      <c r="D540" s="50" t="s">
        <v>84</v>
      </c>
      <c r="E540" s="50">
        <v>13</v>
      </c>
      <c r="F540" s="50">
        <v>17</v>
      </c>
      <c r="G540" s="50">
        <v>-4</v>
      </c>
    </row>
    <row r="541" spans="1:7" x14ac:dyDescent="0.25">
      <c r="A541" s="50">
        <v>2804</v>
      </c>
      <c r="B541" s="50" t="s">
        <v>44</v>
      </c>
      <c r="C541" s="50" t="s">
        <v>579</v>
      </c>
      <c r="D541" s="50" t="s">
        <v>484</v>
      </c>
      <c r="E541" s="50">
        <v>5</v>
      </c>
      <c r="F541" s="50">
        <v>3</v>
      </c>
      <c r="G541" s="50">
        <v>2</v>
      </c>
    </row>
    <row r="542" spans="1:7" x14ac:dyDescent="0.25">
      <c r="A542" s="50">
        <v>574</v>
      </c>
      <c r="B542" s="50" t="s">
        <v>35</v>
      </c>
      <c r="C542" s="50" t="s">
        <v>231</v>
      </c>
      <c r="D542" s="50" t="s">
        <v>67</v>
      </c>
      <c r="E542" s="50">
        <v>3</v>
      </c>
      <c r="F542" s="50">
        <v>1</v>
      </c>
      <c r="G542" s="50">
        <v>2</v>
      </c>
    </row>
    <row r="543" spans="1:7" x14ac:dyDescent="0.25">
      <c r="A543" s="50">
        <v>97</v>
      </c>
      <c r="B543" s="50" t="s">
        <v>35</v>
      </c>
      <c r="C543" s="50" t="s">
        <v>68</v>
      </c>
      <c r="D543" s="50" t="s">
        <v>69</v>
      </c>
      <c r="E543" s="50">
        <v>1</v>
      </c>
      <c r="F543" s="50">
        <v>1</v>
      </c>
      <c r="G543" s="50">
        <v>0</v>
      </c>
    </row>
    <row r="544" spans="1:7" x14ac:dyDescent="0.25">
      <c r="A544" s="50">
        <v>2861</v>
      </c>
      <c r="B544" s="50" t="s">
        <v>35</v>
      </c>
      <c r="C544" s="50" t="s">
        <v>614</v>
      </c>
      <c r="D544" s="50" t="s">
        <v>69</v>
      </c>
      <c r="E544" s="50">
        <v>1</v>
      </c>
      <c r="F544" s="50">
        <v>1</v>
      </c>
      <c r="G544" s="50">
        <v>0</v>
      </c>
    </row>
    <row r="545" spans="1:7" x14ac:dyDescent="0.25">
      <c r="A545" s="50">
        <v>1978</v>
      </c>
      <c r="B545" s="50" t="s">
        <v>44</v>
      </c>
      <c r="C545" s="50" t="s">
        <v>315</v>
      </c>
      <c r="D545" s="50" t="s">
        <v>102</v>
      </c>
      <c r="E545" s="50">
        <v>8</v>
      </c>
      <c r="F545" s="50">
        <v>6</v>
      </c>
      <c r="G545" s="50">
        <v>2</v>
      </c>
    </row>
    <row r="546" spans="1:7" x14ac:dyDescent="0.25">
      <c r="A546" s="50">
        <v>159</v>
      </c>
      <c r="B546" s="50" t="s">
        <v>35</v>
      </c>
      <c r="C546" s="50" t="s">
        <v>92</v>
      </c>
      <c r="D546" s="50" t="s">
        <v>484</v>
      </c>
      <c r="E546" s="50">
        <v>10</v>
      </c>
      <c r="F546" s="50">
        <v>6</v>
      </c>
      <c r="G546" s="50">
        <v>4</v>
      </c>
    </row>
    <row r="547" spans="1:7" x14ac:dyDescent="0.25">
      <c r="A547" s="50">
        <v>2847</v>
      </c>
      <c r="B547" s="50" t="s">
        <v>38</v>
      </c>
      <c r="C547" s="50" t="s">
        <v>618</v>
      </c>
      <c r="D547" s="50" t="s">
        <v>102</v>
      </c>
      <c r="E547" s="50">
        <v>1</v>
      </c>
      <c r="F547" s="50">
        <v>1</v>
      </c>
      <c r="G547" s="50">
        <v>0</v>
      </c>
    </row>
    <row r="548" spans="1:7" x14ac:dyDescent="0.25">
      <c r="A548" s="50">
        <v>4302</v>
      </c>
      <c r="B548" s="50" t="s">
        <v>38</v>
      </c>
      <c r="C548" s="50" t="s">
        <v>677</v>
      </c>
      <c r="D548" s="50" t="s">
        <v>484</v>
      </c>
      <c r="E548" s="50">
        <v>1</v>
      </c>
      <c r="F548" s="50">
        <v>1</v>
      </c>
      <c r="G548" s="50">
        <v>0</v>
      </c>
    </row>
    <row r="549" spans="1:7" x14ac:dyDescent="0.25">
      <c r="A549" s="50">
        <v>637</v>
      </c>
      <c r="B549" s="50" t="s">
        <v>49</v>
      </c>
      <c r="C549" s="50" t="s">
        <v>524</v>
      </c>
      <c r="D549" s="50" t="s">
        <v>484</v>
      </c>
      <c r="E549" s="50">
        <v>8</v>
      </c>
      <c r="F549" s="50">
        <v>7</v>
      </c>
      <c r="G549" s="50">
        <v>1</v>
      </c>
    </row>
    <row r="550" spans="1:7" x14ac:dyDescent="0.25">
      <c r="A550" s="50">
        <v>492</v>
      </c>
      <c r="B550" s="50" t="s">
        <v>38</v>
      </c>
      <c r="C550" s="50" t="s">
        <v>206</v>
      </c>
      <c r="D550" s="50" t="s">
        <v>483</v>
      </c>
      <c r="E550" s="50">
        <v>8</v>
      </c>
      <c r="F550" s="50">
        <v>7</v>
      </c>
      <c r="G550" s="50">
        <v>1</v>
      </c>
    </row>
    <row r="551" spans="1:7" x14ac:dyDescent="0.25">
      <c r="A551" s="50">
        <v>2061</v>
      </c>
      <c r="B551" s="50" t="s">
        <v>49</v>
      </c>
      <c r="C551" s="50" t="s">
        <v>336</v>
      </c>
      <c r="D551" s="50" t="s">
        <v>37</v>
      </c>
      <c r="E551" s="50">
        <v>20</v>
      </c>
      <c r="F551" s="50">
        <v>26</v>
      </c>
      <c r="G551" s="50">
        <v>-6</v>
      </c>
    </row>
    <row r="552" spans="1:7" x14ac:dyDescent="0.25">
      <c r="A552" s="50">
        <v>2129</v>
      </c>
      <c r="B552" s="50" t="s">
        <v>38</v>
      </c>
      <c r="C552" s="50" t="s">
        <v>350</v>
      </c>
      <c r="D552" s="50" t="s">
        <v>41</v>
      </c>
      <c r="E552" s="50">
        <v>1</v>
      </c>
      <c r="F552" s="50">
        <v>2</v>
      </c>
      <c r="G552" s="50">
        <v>-1</v>
      </c>
    </row>
    <row r="553" spans="1:7" x14ac:dyDescent="0.25">
      <c r="A553" s="50">
        <v>362</v>
      </c>
      <c r="B553" s="50" t="s">
        <v>38</v>
      </c>
      <c r="C553" s="50" t="s">
        <v>160</v>
      </c>
      <c r="D553" s="50" t="s">
        <v>490</v>
      </c>
      <c r="E553" s="50">
        <v>1</v>
      </c>
      <c r="F553" s="50">
        <v>2</v>
      </c>
      <c r="G553" s="50">
        <v>-1</v>
      </c>
    </row>
    <row r="554" spans="1:7" x14ac:dyDescent="0.25">
      <c r="A554" s="50">
        <v>2179</v>
      </c>
      <c r="B554" s="50" t="s">
        <v>35</v>
      </c>
      <c r="C554" s="50" t="s">
        <v>370</v>
      </c>
      <c r="D554" s="50" t="s">
        <v>108</v>
      </c>
      <c r="E554" s="50">
        <v>12</v>
      </c>
      <c r="F554" s="50">
        <v>11</v>
      </c>
      <c r="G554" s="50">
        <v>1</v>
      </c>
    </row>
    <row r="555" spans="1:7" x14ac:dyDescent="0.25">
      <c r="A555" s="50">
        <v>133</v>
      </c>
      <c r="B555" s="50" t="s">
        <v>35</v>
      </c>
      <c r="C555" s="50" t="s">
        <v>83</v>
      </c>
      <c r="D555" s="50" t="s">
        <v>54</v>
      </c>
      <c r="E555" s="50">
        <v>9</v>
      </c>
      <c r="F555" s="50">
        <v>9</v>
      </c>
      <c r="G555" s="50">
        <v>0</v>
      </c>
    </row>
    <row r="556" spans="1:7" x14ac:dyDescent="0.25">
      <c r="A556" s="50">
        <v>798</v>
      </c>
      <c r="B556" s="50" t="s">
        <v>38</v>
      </c>
      <c r="C556" s="50" t="s">
        <v>277</v>
      </c>
      <c r="D556" s="50" t="s">
        <v>96</v>
      </c>
      <c r="E556" s="50">
        <v>15</v>
      </c>
      <c r="F556" s="50">
        <v>16</v>
      </c>
      <c r="G556" s="50">
        <v>-1</v>
      </c>
    </row>
    <row r="557" spans="1:7" x14ac:dyDescent="0.25">
      <c r="A557" s="50">
        <v>210</v>
      </c>
      <c r="B557" s="50" t="s">
        <v>44</v>
      </c>
      <c r="C557" s="50" t="s">
        <v>545</v>
      </c>
      <c r="D557" s="50" t="s">
        <v>490</v>
      </c>
      <c r="E557" s="50">
        <v>4</v>
      </c>
      <c r="F557" s="50">
        <v>5</v>
      </c>
      <c r="G557" s="50">
        <v>-1</v>
      </c>
    </row>
    <row r="558" spans="1:7" x14ac:dyDescent="0.25">
      <c r="A558" s="50">
        <v>2625</v>
      </c>
      <c r="B558" s="50" t="s">
        <v>44</v>
      </c>
      <c r="C558" s="50" t="s">
        <v>488</v>
      </c>
      <c r="D558" s="50" t="s">
        <v>54</v>
      </c>
      <c r="E558" s="50">
        <v>7</v>
      </c>
      <c r="F558" s="50">
        <v>12</v>
      </c>
      <c r="G558" s="50">
        <v>-5</v>
      </c>
    </row>
    <row r="559" spans="1:7" x14ac:dyDescent="0.25">
      <c r="A559" s="50">
        <v>413</v>
      </c>
      <c r="B559" s="50" t="s">
        <v>35</v>
      </c>
      <c r="C559" s="50" t="s">
        <v>185</v>
      </c>
      <c r="D559" s="50" t="s">
        <v>69</v>
      </c>
      <c r="E559" s="50">
        <v>11</v>
      </c>
      <c r="F559" s="50">
        <v>9</v>
      </c>
      <c r="G559" s="50">
        <v>2</v>
      </c>
    </row>
    <row r="560" spans="1:7" x14ac:dyDescent="0.25">
      <c r="A560" s="50">
        <v>2839</v>
      </c>
      <c r="B560" s="50" t="s">
        <v>49</v>
      </c>
      <c r="C560" s="50" t="s">
        <v>600</v>
      </c>
      <c r="D560" s="50" t="s">
        <v>37</v>
      </c>
      <c r="E560" s="50">
        <v>1</v>
      </c>
      <c r="F560" s="50">
        <v>2</v>
      </c>
      <c r="G560" s="50">
        <v>-1</v>
      </c>
    </row>
    <row r="561" spans="1:7" x14ac:dyDescent="0.25">
      <c r="A561" s="50">
        <v>1852</v>
      </c>
      <c r="B561" s="50" t="s">
        <v>38</v>
      </c>
      <c r="C561" s="50" t="s">
        <v>286</v>
      </c>
      <c r="D561" s="50" t="s">
        <v>104</v>
      </c>
      <c r="E561" s="50">
        <v>2</v>
      </c>
      <c r="F561" s="50">
        <v>6</v>
      </c>
      <c r="G561" s="50">
        <v>-4</v>
      </c>
    </row>
    <row r="562" spans="1:7" x14ac:dyDescent="0.25">
      <c r="A562" s="50">
        <v>78</v>
      </c>
      <c r="B562" s="50" t="s">
        <v>38</v>
      </c>
      <c r="C562" s="50" t="s">
        <v>65</v>
      </c>
      <c r="D562" s="50" t="s">
        <v>59</v>
      </c>
      <c r="E562" s="50">
        <v>3</v>
      </c>
      <c r="F562" s="50">
        <v>6</v>
      </c>
      <c r="G562" s="50">
        <v>-3</v>
      </c>
    </row>
    <row r="563" spans="1:7" x14ac:dyDescent="0.25">
      <c r="A563" s="50">
        <v>4</v>
      </c>
      <c r="B563" s="50" t="s">
        <v>35</v>
      </c>
      <c r="C563" s="50" t="s">
        <v>36</v>
      </c>
      <c r="D563" s="50" t="s">
        <v>490</v>
      </c>
      <c r="E563" s="50">
        <v>7</v>
      </c>
      <c r="F563" s="50">
        <v>6</v>
      </c>
      <c r="G563" s="50">
        <v>1</v>
      </c>
    </row>
    <row r="564" spans="1:7" x14ac:dyDescent="0.25">
      <c r="A564" s="50">
        <v>2773</v>
      </c>
      <c r="B564" s="50" t="s">
        <v>49</v>
      </c>
      <c r="C564" s="50" t="s">
        <v>640</v>
      </c>
      <c r="D564" s="50" t="s">
        <v>484</v>
      </c>
      <c r="E564" s="50">
        <v>3</v>
      </c>
      <c r="F564" s="50">
        <v>1</v>
      </c>
      <c r="G564" s="50">
        <v>2</v>
      </c>
    </row>
    <row r="565" spans="1:7" x14ac:dyDescent="0.25">
      <c r="A565" s="50">
        <v>2749</v>
      </c>
      <c r="B565" s="50" t="s">
        <v>38</v>
      </c>
      <c r="C565" s="50" t="s">
        <v>522</v>
      </c>
      <c r="D565" s="50" t="s">
        <v>46</v>
      </c>
      <c r="E565" s="50">
        <v>9</v>
      </c>
      <c r="F565" s="50">
        <v>7</v>
      </c>
      <c r="G565" s="50">
        <v>2</v>
      </c>
    </row>
    <row r="566" spans="1:7" x14ac:dyDescent="0.25">
      <c r="A566" s="50">
        <v>2327</v>
      </c>
      <c r="B566" s="50" t="s">
        <v>49</v>
      </c>
      <c r="C566" s="50" t="s">
        <v>426</v>
      </c>
      <c r="D566" s="50" t="s">
        <v>69</v>
      </c>
      <c r="E566" s="50">
        <v>13</v>
      </c>
      <c r="F566" s="50">
        <v>13</v>
      </c>
      <c r="G566" s="50">
        <v>0</v>
      </c>
    </row>
    <row r="567" spans="1:7" x14ac:dyDescent="0.25">
      <c r="A567" s="50">
        <v>2732</v>
      </c>
      <c r="B567" s="50" t="s">
        <v>44</v>
      </c>
      <c r="C567" s="50" t="s">
        <v>630</v>
      </c>
      <c r="D567" s="50" t="s">
        <v>98</v>
      </c>
      <c r="E567" s="50">
        <v>1</v>
      </c>
      <c r="F567" s="50">
        <v>1</v>
      </c>
      <c r="G567" s="50">
        <v>0</v>
      </c>
    </row>
    <row r="568" spans="1:7" x14ac:dyDescent="0.25">
      <c r="A568" s="50">
        <v>1934</v>
      </c>
      <c r="B568" s="50" t="s">
        <v>35</v>
      </c>
      <c r="C568" s="50" t="s">
        <v>307</v>
      </c>
      <c r="D568" s="50" t="s">
        <v>133</v>
      </c>
      <c r="E568" s="50">
        <v>11</v>
      </c>
      <c r="F568" s="50">
        <v>12</v>
      </c>
      <c r="G568" s="50">
        <v>-1</v>
      </c>
    </row>
    <row r="569" spans="1:7" x14ac:dyDescent="0.25">
      <c r="A569" s="50">
        <v>395</v>
      </c>
      <c r="B569" s="50" t="s">
        <v>38</v>
      </c>
      <c r="C569" s="50" t="s">
        <v>177</v>
      </c>
      <c r="D569" s="50" t="s">
        <v>40</v>
      </c>
      <c r="E569" s="50">
        <v>1</v>
      </c>
      <c r="F569" s="50">
        <v>5</v>
      </c>
      <c r="G569" s="50">
        <v>-4</v>
      </c>
    </row>
    <row r="570" spans="1:7" x14ac:dyDescent="0.25">
      <c r="A570" s="50">
        <v>470</v>
      </c>
      <c r="B570" s="50" t="s">
        <v>44</v>
      </c>
      <c r="C570" s="50" t="s">
        <v>198</v>
      </c>
      <c r="D570" s="50" t="s">
        <v>84</v>
      </c>
      <c r="E570" s="50">
        <v>9</v>
      </c>
      <c r="F570" s="50">
        <v>10</v>
      </c>
      <c r="G570" s="50">
        <v>-1</v>
      </c>
    </row>
    <row r="571" spans="1:7" x14ac:dyDescent="0.25">
      <c r="A571" s="50">
        <v>2315</v>
      </c>
      <c r="B571" s="50" t="s">
        <v>38</v>
      </c>
      <c r="C571" s="50" t="s">
        <v>421</v>
      </c>
      <c r="D571" s="50" t="s">
        <v>67</v>
      </c>
      <c r="E571" s="50">
        <v>8</v>
      </c>
      <c r="F571" s="50">
        <v>6</v>
      </c>
      <c r="G571" s="50">
        <v>2</v>
      </c>
    </row>
    <row r="572" spans="1:7" x14ac:dyDescent="0.25">
      <c r="A572" s="50">
        <v>2778</v>
      </c>
      <c r="B572" s="50" t="s">
        <v>44</v>
      </c>
      <c r="C572" s="50" t="s">
        <v>547</v>
      </c>
      <c r="D572" s="50" t="s">
        <v>484</v>
      </c>
      <c r="E572" s="50">
        <v>7</v>
      </c>
      <c r="F572" s="50">
        <v>5</v>
      </c>
      <c r="G572" s="50">
        <v>2</v>
      </c>
    </row>
    <row r="573" spans="1:7" x14ac:dyDescent="0.25">
      <c r="A573" s="50">
        <v>305</v>
      </c>
      <c r="B573" s="50" t="s">
        <v>44</v>
      </c>
      <c r="C573" s="50" t="s">
        <v>140</v>
      </c>
      <c r="D573" s="50" t="s">
        <v>59</v>
      </c>
      <c r="E573" s="50">
        <v>3</v>
      </c>
      <c r="F573" s="50">
        <v>3</v>
      </c>
      <c r="G573" s="50">
        <v>0</v>
      </c>
    </row>
    <row r="574" spans="1:7" x14ac:dyDescent="0.25">
      <c r="A574" s="50">
        <v>375</v>
      </c>
      <c r="B574" s="50" t="s">
        <v>49</v>
      </c>
      <c r="C574" s="50" t="s">
        <v>167</v>
      </c>
      <c r="D574" s="50" t="s">
        <v>40</v>
      </c>
      <c r="E574" s="50">
        <v>22</v>
      </c>
      <c r="F574" s="50">
        <v>21</v>
      </c>
      <c r="G574" s="50">
        <v>1</v>
      </c>
    </row>
    <row r="575" spans="1:7" x14ac:dyDescent="0.25">
      <c r="A575" s="50">
        <v>2744</v>
      </c>
      <c r="B575" s="50" t="s">
        <v>44</v>
      </c>
      <c r="C575" s="50" t="s">
        <v>576</v>
      </c>
      <c r="D575" s="50" t="s">
        <v>54</v>
      </c>
      <c r="E575" s="50">
        <v>5</v>
      </c>
      <c r="F575" s="50">
        <v>3</v>
      </c>
      <c r="G575" s="50">
        <v>2</v>
      </c>
    </row>
    <row r="576" spans="1:7" x14ac:dyDescent="0.25">
      <c r="A576" s="50">
        <v>453</v>
      </c>
      <c r="B576" s="50" t="s">
        <v>35</v>
      </c>
      <c r="C576" s="50" t="s">
        <v>191</v>
      </c>
      <c r="D576" s="50" t="s">
        <v>104</v>
      </c>
      <c r="E576" s="50">
        <v>17</v>
      </c>
      <c r="F576" s="50">
        <v>18</v>
      </c>
      <c r="G576" s="50">
        <v>-1</v>
      </c>
    </row>
    <row r="577" spans="1:7" x14ac:dyDescent="0.25">
      <c r="A577" s="50">
        <v>2663</v>
      </c>
      <c r="B577" s="50" t="s">
        <v>38</v>
      </c>
      <c r="C577" s="50" t="s">
        <v>440</v>
      </c>
      <c r="D577" s="50" t="s">
        <v>69</v>
      </c>
      <c r="E577" s="50">
        <v>1</v>
      </c>
      <c r="F577" s="50">
        <v>1</v>
      </c>
      <c r="G577" s="50">
        <v>0</v>
      </c>
    </row>
    <row r="578" spans="1:7" x14ac:dyDescent="0.25">
      <c r="A578" s="50">
        <v>2873</v>
      </c>
      <c r="B578" s="50" t="s">
        <v>49</v>
      </c>
      <c r="C578" s="50" t="s">
        <v>491</v>
      </c>
      <c r="D578" s="50" t="s">
        <v>67</v>
      </c>
      <c r="E578" s="50">
        <v>7</v>
      </c>
      <c r="F578" s="50">
        <v>12</v>
      </c>
      <c r="G578" s="50">
        <v>-5</v>
      </c>
    </row>
    <row r="579" spans="1:7" x14ac:dyDescent="0.25">
      <c r="A579" s="50">
        <v>2795</v>
      </c>
      <c r="B579" s="50" t="s">
        <v>38</v>
      </c>
      <c r="C579" s="50" t="s">
        <v>568</v>
      </c>
      <c r="D579" s="50" t="s">
        <v>67</v>
      </c>
      <c r="E579" s="50">
        <v>5</v>
      </c>
      <c r="F579" s="50">
        <v>3</v>
      </c>
      <c r="G579" s="50">
        <v>2</v>
      </c>
    </row>
    <row r="580" spans="1:7" x14ac:dyDescent="0.25">
      <c r="A580" s="50">
        <v>2815</v>
      </c>
      <c r="B580" s="50" t="s">
        <v>35</v>
      </c>
      <c r="C580" s="50" t="s">
        <v>603</v>
      </c>
      <c r="D580" s="50" t="s">
        <v>37</v>
      </c>
      <c r="E580" s="50">
        <v>4</v>
      </c>
      <c r="F580" s="50">
        <v>1</v>
      </c>
      <c r="G580" s="50">
        <v>3</v>
      </c>
    </row>
    <row r="581" spans="1:7" x14ac:dyDescent="0.25">
      <c r="A581" s="50">
        <v>522</v>
      </c>
      <c r="B581" s="50" t="s">
        <v>38</v>
      </c>
      <c r="C581" s="50" t="s">
        <v>693</v>
      </c>
      <c r="D581" s="50" t="s">
        <v>490</v>
      </c>
      <c r="E581" s="50">
        <v>6</v>
      </c>
      <c r="F581" s="50">
        <v>6</v>
      </c>
      <c r="G581" s="50">
        <v>0</v>
      </c>
    </row>
    <row r="582" spans="1:7" x14ac:dyDescent="0.25">
      <c r="A582" s="50">
        <v>606</v>
      </c>
      <c r="B582" s="50" t="s">
        <v>49</v>
      </c>
      <c r="C582" s="50" t="s">
        <v>237</v>
      </c>
      <c r="D582" s="50" t="s">
        <v>46</v>
      </c>
      <c r="E582" s="50">
        <v>7</v>
      </c>
      <c r="F582" s="50">
        <v>13</v>
      </c>
      <c r="G582" s="50">
        <v>-6</v>
      </c>
    </row>
    <row r="583" spans="1:7" x14ac:dyDescent="0.25">
      <c r="A583" s="50">
        <v>695</v>
      </c>
      <c r="B583" s="50" t="s">
        <v>38</v>
      </c>
      <c r="C583" s="50" t="s">
        <v>257</v>
      </c>
      <c r="D583" s="50" t="s">
        <v>43</v>
      </c>
      <c r="E583" s="50">
        <v>12</v>
      </c>
      <c r="F583" s="50">
        <v>10</v>
      </c>
      <c r="G583" s="50">
        <v>2</v>
      </c>
    </row>
    <row r="584" spans="1:7" x14ac:dyDescent="0.25">
      <c r="A584" s="50">
        <v>169</v>
      </c>
      <c r="B584" s="50" t="s">
        <v>38</v>
      </c>
      <c r="C584" s="50" t="s">
        <v>93</v>
      </c>
      <c r="D584" s="50" t="s">
        <v>69</v>
      </c>
      <c r="E584" s="50">
        <v>4</v>
      </c>
      <c r="F584" s="50">
        <v>6</v>
      </c>
      <c r="G584" s="50">
        <v>-2</v>
      </c>
    </row>
    <row r="585" spans="1:7" x14ac:dyDescent="0.25">
      <c r="A585" s="50">
        <v>144</v>
      </c>
      <c r="B585" s="50" t="s">
        <v>38</v>
      </c>
      <c r="C585" s="50" t="s">
        <v>88</v>
      </c>
      <c r="D585" s="50" t="s">
        <v>98</v>
      </c>
      <c r="E585" s="50">
        <v>9</v>
      </c>
      <c r="F585" s="50">
        <v>6</v>
      </c>
      <c r="G585" s="50">
        <v>3</v>
      </c>
    </row>
    <row r="586" spans="1:7" x14ac:dyDescent="0.25">
      <c r="A586" s="50">
        <v>1970</v>
      </c>
      <c r="B586" s="50" t="s">
        <v>35</v>
      </c>
      <c r="C586" s="50" t="s">
        <v>312</v>
      </c>
      <c r="D586" s="50" t="s">
        <v>98</v>
      </c>
      <c r="E586" s="50">
        <v>1</v>
      </c>
      <c r="F586" s="50">
        <v>1</v>
      </c>
      <c r="G586" s="50">
        <v>0</v>
      </c>
    </row>
    <row r="587" spans="1:7" x14ac:dyDescent="0.25">
      <c r="A587" s="50">
        <v>2857</v>
      </c>
      <c r="B587" s="50" t="s">
        <v>44</v>
      </c>
      <c r="C587" s="50" t="s">
        <v>634</v>
      </c>
      <c r="D587" s="50" t="s">
        <v>483</v>
      </c>
      <c r="E587" s="50">
        <v>6</v>
      </c>
      <c r="F587" s="50">
        <v>1</v>
      </c>
      <c r="G587" s="50">
        <v>5</v>
      </c>
    </row>
    <row r="588" spans="1:7" x14ac:dyDescent="0.25">
      <c r="A588" s="50">
        <v>2870</v>
      </c>
      <c r="B588" s="50" t="s">
        <v>38</v>
      </c>
      <c r="C588" s="50" t="s">
        <v>566</v>
      </c>
      <c r="D588" s="50" t="s">
        <v>67</v>
      </c>
      <c r="E588" s="50">
        <v>8</v>
      </c>
      <c r="F588" s="50">
        <v>3</v>
      </c>
      <c r="G588" s="50">
        <v>5</v>
      </c>
    </row>
    <row r="589" spans="1:7" x14ac:dyDescent="0.25">
      <c r="A589" s="50">
        <v>789</v>
      </c>
      <c r="B589" s="50" t="s">
        <v>49</v>
      </c>
      <c r="C589" s="50" t="s">
        <v>274</v>
      </c>
      <c r="D589" s="50" t="s">
        <v>490</v>
      </c>
      <c r="E589" s="50">
        <v>3</v>
      </c>
      <c r="F589" s="50">
        <v>8</v>
      </c>
      <c r="G589" s="50">
        <v>-5</v>
      </c>
    </row>
    <row r="590" spans="1:7" x14ac:dyDescent="0.25">
      <c r="A590" s="50">
        <v>778</v>
      </c>
      <c r="B590" s="50" t="s">
        <v>49</v>
      </c>
      <c r="C590" s="50" t="s">
        <v>268</v>
      </c>
      <c r="D590" s="50" t="s">
        <v>43</v>
      </c>
      <c r="E590" s="50">
        <v>3</v>
      </c>
      <c r="F590" s="50">
        <v>8</v>
      </c>
      <c r="G590" s="50">
        <v>-5</v>
      </c>
    </row>
    <row r="591" spans="1:7" x14ac:dyDescent="0.25">
      <c r="A591" s="50">
        <v>471</v>
      </c>
      <c r="B591" s="50" t="s">
        <v>44</v>
      </c>
      <c r="C591" s="50" t="s">
        <v>532</v>
      </c>
      <c r="D591" s="50" t="s">
        <v>483</v>
      </c>
      <c r="E591" s="50">
        <v>5</v>
      </c>
      <c r="F591" s="50">
        <v>6</v>
      </c>
      <c r="G591" s="50">
        <v>-1</v>
      </c>
    </row>
    <row r="592" spans="1:7" x14ac:dyDescent="0.25">
      <c r="A592" s="50">
        <v>2201</v>
      </c>
      <c r="B592" s="50" t="s">
        <v>49</v>
      </c>
      <c r="C592" s="50" t="s">
        <v>385</v>
      </c>
      <c r="D592" s="50" t="s">
        <v>84</v>
      </c>
      <c r="E592" s="50">
        <v>20</v>
      </c>
      <c r="F592" s="50">
        <v>21</v>
      </c>
      <c r="G592" s="50">
        <v>-1</v>
      </c>
    </row>
    <row r="593" spans="1:7" x14ac:dyDescent="0.25">
      <c r="A593" s="50">
        <v>2817</v>
      </c>
      <c r="B593" s="50" t="s">
        <v>38</v>
      </c>
      <c r="C593" s="50" t="s">
        <v>575</v>
      </c>
      <c r="D593" s="50" t="s">
        <v>483</v>
      </c>
      <c r="E593" s="50">
        <v>2</v>
      </c>
      <c r="F593" s="50">
        <v>3</v>
      </c>
      <c r="G593" s="50">
        <v>-1</v>
      </c>
    </row>
    <row r="594" spans="1:7" x14ac:dyDescent="0.25">
      <c r="A594" s="50">
        <v>2212</v>
      </c>
      <c r="B594" s="50" t="s">
        <v>38</v>
      </c>
      <c r="C594" s="50" t="s">
        <v>391</v>
      </c>
      <c r="D594" s="50" t="s">
        <v>41</v>
      </c>
      <c r="E594" s="50">
        <v>2</v>
      </c>
      <c r="F594" s="50">
        <v>2</v>
      </c>
      <c r="G594" s="50">
        <v>0</v>
      </c>
    </row>
    <row r="595" spans="1:7" x14ac:dyDescent="0.25">
      <c r="A595" s="50">
        <v>405</v>
      </c>
      <c r="B595" s="50" t="s">
        <v>44</v>
      </c>
      <c r="C595" s="50" t="s">
        <v>180</v>
      </c>
      <c r="D595" s="50" t="s">
        <v>41</v>
      </c>
      <c r="E595" s="50">
        <v>4</v>
      </c>
      <c r="F595" s="50">
        <v>3</v>
      </c>
      <c r="G595" s="50">
        <v>1</v>
      </c>
    </row>
    <row r="596" spans="1:7" x14ac:dyDescent="0.25">
      <c r="A596" s="50">
        <v>2133</v>
      </c>
      <c r="B596" s="50" t="s">
        <v>44</v>
      </c>
      <c r="C596" s="50" t="s">
        <v>352</v>
      </c>
      <c r="D596" s="50" t="s">
        <v>54</v>
      </c>
      <c r="E596" s="50">
        <v>1</v>
      </c>
      <c r="F596" s="50">
        <v>1</v>
      </c>
      <c r="G596" s="50">
        <v>0</v>
      </c>
    </row>
    <row r="597" spans="1:7" x14ac:dyDescent="0.25">
      <c r="A597" s="50">
        <v>2829</v>
      </c>
      <c r="B597" s="50" t="s">
        <v>38</v>
      </c>
      <c r="C597" s="50" t="s">
        <v>592</v>
      </c>
      <c r="D597" s="50" t="s">
        <v>69</v>
      </c>
      <c r="E597" s="50">
        <v>2</v>
      </c>
      <c r="F597" s="50">
        <v>2</v>
      </c>
      <c r="G597" s="50">
        <v>0</v>
      </c>
    </row>
    <row r="598" spans="1:7" x14ac:dyDescent="0.25">
      <c r="A598" s="50">
        <v>2274</v>
      </c>
      <c r="B598" s="50" t="s">
        <v>44</v>
      </c>
      <c r="C598" s="50" t="s">
        <v>403</v>
      </c>
      <c r="D598" s="50" t="s">
        <v>41</v>
      </c>
      <c r="E598" s="50">
        <v>7</v>
      </c>
      <c r="F598" s="50">
        <v>5</v>
      </c>
      <c r="G598" s="50">
        <v>2</v>
      </c>
    </row>
    <row r="599" spans="1:7" x14ac:dyDescent="0.25">
      <c r="A599" s="50">
        <v>2742</v>
      </c>
      <c r="B599" s="50" t="s">
        <v>44</v>
      </c>
      <c r="C599" s="50" t="s">
        <v>594</v>
      </c>
      <c r="D599" s="50" t="s">
        <v>490</v>
      </c>
      <c r="E599" s="50">
        <v>2</v>
      </c>
      <c r="F599" s="50">
        <v>2</v>
      </c>
      <c r="G599" s="50">
        <v>0</v>
      </c>
    </row>
    <row r="600" spans="1:7" x14ac:dyDescent="0.25">
      <c r="A600" s="50">
        <v>2740</v>
      </c>
      <c r="B600" s="50" t="s">
        <v>38</v>
      </c>
      <c r="C600" s="50" t="s">
        <v>622</v>
      </c>
      <c r="D600" s="50" t="s">
        <v>43</v>
      </c>
      <c r="E600" s="50">
        <v>1</v>
      </c>
      <c r="F600" s="50">
        <v>1</v>
      </c>
      <c r="G600" s="50">
        <v>0</v>
      </c>
    </row>
    <row r="601" spans="1:7" x14ac:dyDescent="0.25">
      <c r="A601" s="50">
        <v>181</v>
      </c>
      <c r="B601" s="50" t="s">
        <v>44</v>
      </c>
      <c r="C601" s="50" t="s">
        <v>100</v>
      </c>
      <c r="D601" s="50" t="s">
        <v>96</v>
      </c>
      <c r="E601" s="50">
        <v>7</v>
      </c>
      <c r="F601" s="50">
        <v>10</v>
      </c>
      <c r="G601" s="50">
        <v>-3</v>
      </c>
    </row>
    <row r="602" spans="1:7" x14ac:dyDescent="0.25">
      <c r="A602" s="50">
        <v>2174</v>
      </c>
      <c r="B602" s="50" t="s">
        <v>38</v>
      </c>
      <c r="C602" s="50" t="s">
        <v>367</v>
      </c>
      <c r="D602" s="50" t="s">
        <v>37</v>
      </c>
      <c r="E602" s="50">
        <v>2</v>
      </c>
      <c r="F602" s="50">
        <v>2</v>
      </c>
      <c r="G602" s="50">
        <v>0</v>
      </c>
    </row>
    <row r="603" spans="1:7" x14ac:dyDescent="0.25">
      <c r="A603" s="50">
        <v>215</v>
      </c>
      <c r="B603" s="50" t="s">
        <v>49</v>
      </c>
      <c r="C603" s="50" t="s">
        <v>105</v>
      </c>
      <c r="D603" s="50" t="s">
        <v>84</v>
      </c>
      <c r="E603" s="50">
        <v>2</v>
      </c>
      <c r="F603" s="50">
        <v>2</v>
      </c>
      <c r="G603" s="50">
        <v>0</v>
      </c>
    </row>
    <row r="604" spans="1:7" x14ac:dyDescent="0.25">
      <c r="A604" s="50">
        <v>376</v>
      </c>
      <c r="B604" s="50" t="s">
        <v>44</v>
      </c>
      <c r="C604" s="50" t="s">
        <v>168</v>
      </c>
      <c r="D604" s="50" t="s">
        <v>62</v>
      </c>
      <c r="E604" s="50">
        <v>13</v>
      </c>
      <c r="F604" s="50">
        <v>18</v>
      </c>
      <c r="G604" s="50">
        <v>-5</v>
      </c>
    </row>
    <row r="605" spans="1:7" x14ac:dyDescent="0.25">
      <c r="A605" s="50">
        <v>2215</v>
      </c>
      <c r="B605" s="50" t="s">
        <v>44</v>
      </c>
      <c r="C605" s="50" t="s">
        <v>394</v>
      </c>
      <c r="D605" s="50" t="s">
        <v>37</v>
      </c>
      <c r="E605" s="50">
        <v>17</v>
      </c>
      <c r="F605" s="50">
        <v>17</v>
      </c>
      <c r="G605" s="50">
        <v>0</v>
      </c>
    </row>
    <row r="606" spans="1:7" x14ac:dyDescent="0.25">
      <c r="A606" s="50">
        <v>363</v>
      </c>
      <c r="B606" s="50" t="s">
        <v>38</v>
      </c>
      <c r="C606" s="50" t="s">
        <v>694</v>
      </c>
      <c r="D606" s="50" t="s">
        <v>46</v>
      </c>
      <c r="E606" s="50">
        <v>1</v>
      </c>
      <c r="F606" s="50">
        <v>1</v>
      </c>
      <c r="G606" s="50">
        <v>0</v>
      </c>
    </row>
    <row r="607" spans="1:7" x14ac:dyDescent="0.25">
      <c r="A607" s="50">
        <v>600</v>
      </c>
      <c r="B607" s="50" t="s">
        <v>44</v>
      </c>
      <c r="C607" s="50" t="s">
        <v>235</v>
      </c>
      <c r="D607" s="50" t="s">
        <v>98</v>
      </c>
      <c r="E607" s="50">
        <v>2</v>
      </c>
      <c r="F607" s="50">
        <v>2</v>
      </c>
      <c r="G607" s="50">
        <v>0</v>
      </c>
    </row>
    <row r="608" spans="1:7" x14ac:dyDescent="0.25">
      <c r="A608" s="50">
        <v>2064</v>
      </c>
      <c r="B608" s="50" t="s">
        <v>38</v>
      </c>
      <c r="C608" s="50" t="s">
        <v>561</v>
      </c>
      <c r="D608" s="50" t="s">
        <v>483</v>
      </c>
      <c r="E608" s="50">
        <v>3</v>
      </c>
      <c r="F608" s="50">
        <v>4</v>
      </c>
      <c r="G608" s="50">
        <v>-1</v>
      </c>
    </row>
    <row r="609" spans="1:7" x14ac:dyDescent="0.25">
      <c r="A609" s="50">
        <v>2261</v>
      </c>
      <c r="B609" s="50" t="s">
        <v>38</v>
      </c>
      <c r="C609" s="50" t="s">
        <v>398</v>
      </c>
      <c r="D609" s="50" t="s">
        <v>41</v>
      </c>
      <c r="E609" s="50">
        <v>6</v>
      </c>
      <c r="F609" s="50">
        <v>4</v>
      </c>
      <c r="G609" s="50">
        <v>2</v>
      </c>
    </row>
    <row r="610" spans="1:7" x14ac:dyDescent="0.25">
      <c r="A610" s="50">
        <v>2855</v>
      </c>
      <c r="B610" s="50" t="s">
        <v>44</v>
      </c>
      <c r="C610" s="50" t="s">
        <v>530</v>
      </c>
      <c r="D610" s="50" t="s">
        <v>98</v>
      </c>
      <c r="E610" s="50">
        <v>3</v>
      </c>
      <c r="F610" s="50">
        <v>6</v>
      </c>
      <c r="G610" s="50">
        <v>-3</v>
      </c>
    </row>
    <row r="611" spans="1:7" x14ac:dyDescent="0.25">
      <c r="A611" s="50">
        <v>2154</v>
      </c>
      <c r="B611" s="50" t="s">
        <v>44</v>
      </c>
      <c r="C611" s="50" t="s">
        <v>624</v>
      </c>
      <c r="D611" s="50" t="s">
        <v>69</v>
      </c>
      <c r="E611" s="50">
        <v>2</v>
      </c>
      <c r="F611" s="50">
        <v>1</v>
      </c>
      <c r="G611" s="50">
        <v>1</v>
      </c>
    </row>
    <row r="612" spans="1:7" x14ac:dyDescent="0.25">
      <c r="A612" s="50">
        <v>726</v>
      </c>
      <c r="B612" s="50" t="s">
        <v>44</v>
      </c>
      <c r="C612" s="50" t="s">
        <v>265</v>
      </c>
      <c r="D612" s="50" t="s">
        <v>41</v>
      </c>
      <c r="E612" s="50">
        <v>1</v>
      </c>
      <c r="F612" s="50">
        <v>1</v>
      </c>
      <c r="G612" s="50">
        <v>0</v>
      </c>
    </row>
    <row r="613" spans="1:7" x14ac:dyDescent="0.25">
      <c r="A613" s="50">
        <v>2165</v>
      </c>
      <c r="B613" s="50" t="s">
        <v>38</v>
      </c>
      <c r="C613" s="50" t="s">
        <v>359</v>
      </c>
      <c r="D613" s="50" t="s">
        <v>37</v>
      </c>
      <c r="E613" s="50">
        <v>6</v>
      </c>
      <c r="F613" s="50">
        <v>6</v>
      </c>
      <c r="G613" s="50">
        <v>0</v>
      </c>
    </row>
    <row r="614" spans="1:7" x14ac:dyDescent="0.25">
      <c r="A614" s="50">
        <v>631</v>
      </c>
      <c r="B614" s="50" t="s">
        <v>44</v>
      </c>
      <c r="C614" s="50" t="s">
        <v>246</v>
      </c>
      <c r="D614" s="50" t="s">
        <v>490</v>
      </c>
      <c r="E614" s="50">
        <v>4</v>
      </c>
      <c r="F614" s="50">
        <v>9</v>
      </c>
      <c r="G614" s="50">
        <v>-5</v>
      </c>
    </row>
    <row r="615" spans="1:7" x14ac:dyDescent="0.25">
      <c r="A615" s="50">
        <v>484</v>
      </c>
      <c r="B615" s="50" t="s">
        <v>35</v>
      </c>
      <c r="C615" s="50" t="s">
        <v>202</v>
      </c>
      <c r="D615" s="50" t="s">
        <v>41</v>
      </c>
      <c r="E615" s="50">
        <v>8</v>
      </c>
      <c r="F615" s="50">
        <v>8</v>
      </c>
      <c r="G615" s="50">
        <v>0</v>
      </c>
    </row>
    <row r="616" spans="1:7" x14ac:dyDescent="0.25">
      <c r="A616" s="50">
        <v>2791</v>
      </c>
      <c r="B616" s="50" t="s">
        <v>49</v>
      </c>
      <c r="C616" s="50" t="s">
        <v>510</v>
      </c>
      <c r="D616" s="50" t="s">
        <v>67</v>
      </c>
      <c r="E616" s="50">
        <v>4</v>
      </c>
      <c r="F616" s="50">
        <v>9</v>
      </c>
      <c r="G616" s="50">
        <v>-5</v>
      </c>
    </row>
    <row r="617" spans="1:7" x14ac:dyDescent="0.25">
      <c r="A617" s="50">
        <v>2841</v>
      </c>
      <c r="B617" s="50" t="s">
        <v>49</v>
      </c>
      <c r="C617" s="50" t="s">
        <v>643</v>
      </c>
      <c r="D617" s="50" t="s">
        <v>37</v>
      </c>
      <c r="E617" s="50">
        <v>1</v>
      </c>
      <c r="F617" s="50">
        <v>1</v>
      </c>
      <c r="G617" s="50">
        <v>0</v>
      </c>
    </row>
    <row r="618" spans="1:7" x14ac:dyDescent="0.25">
      <c r="A618" s="50">
        <v>2866</v>
      </c>
      <c r="B618" s="50" t="s">
        <v>44</v>
      </c>
      <c r="C618" s="50" t="s">
        <v>531</v>
      </c>
      <c r="D618" s="50" t="s">
        <v>490</v>
      </c>
      <c r="E618" s="50">
        <v>4</v>
      </c>
      <c r="F618" s="50">
        <v>6</v>
      </c>
      <c r="G618" s="50">
        <v>-2</v>
      </c>
    </row>
    <row r="619" spans="1:7" x14ac:dyDescent="0.25">
      <c r="A619" s="50">
        <v>2761</v>
      </c>
      <c r="B619" s="50" t="s">
        <v>35</v>
      </c>
      <c r="C619" s="50" t="s">
        <v>606</v>
      </c>
      <c r="D619" s="50" t="s">
        <v>59</v>
      </c>
      <c r="E619" s="50">
        <v>1</v>
      </c>
      <c r="F619" s="50">
        <v>1</v>
      </c>
      <c r="G619" s="50">
        <v>0</v>
      </c>
    </row>
    <row r="620" spans="1:7" x14ac:dyDescent="0.25">
      <c r="A620" s="50">
        <v>523</v>
      </c>
      <c r="B620" s="50" t="s">
        <v>38</v>
      </c>
      <c r="C620" s="50" t="s">
        <v>477</v>
      </c>
      <c r="D620" s="50" t="s">
        <v>96</v>
      </c>
      <c r="E620" s="50">
        <v>11</v>
      </c>
      <c r="F620" s="50">
        <v>14</v>
      </c>
      <c r="G620" s="50">
        <v>-3</v>
      </c>
    </row>
    <row r="621" spans="1:7" x14ac:dyDescent="0.25">
      <c r="A621" s="50">
        <v>587</v>
      </c>
      <c r="B621" s="50" t="s">
        <v>38</v>
      </c>
      <c r="C621" s="50" t="s">
        <v>466</v>
      </c>
      <c r="D621" s="50" t="s">
        <v>67</v>
      </c>
      <c r="E621" s="50">
        <v>1</v>
      </c>
      <c r="F621" s="50">
        <v>1</v>
      </c>
      <c r="G621" s="50">
        <v>0</v>
      </c>
    </row>
    <row r="622" spans="1:7" x14ac:dyDescent="0.25">
      <c r="A622" s="50">
        <v>2007</v>
      </c>
      <c r="B622" s="50" t="s">
        <v>38</v>
      </c>
      <c r="C622" s="50" t="s">
        <v>326</v>
      </c>
      <c r="D622" s="50" t="s">
        <v>133</v>
      </c>
      <c r="E622" s="50">
        <v>5</v>
      </c>
      <c r="F622" s="50">
        <v>5</v>
      </c>
      <c r="G622" s="50">
        <v>0</v>
      </c>
    </row>
    <row r="623" spans="1:7" x14ac:dyDescent="0.25">
      <c r="A623" s="50">
        <v>4339</v>
      </c>
      <c r="B623" s="50" t="s">
        <v>38</v>
      </c>
      <c r="C623" s="50" t="s">
        <v>678</v>
      </c>
      <c r="D623" s="50" t="s">
        <v>67</v>
      </c>
      <c r="E623" s="50">
        <v>1</v>
      </c>
      <c r="F623" s="50">
        <v>1</v>
      </c>
      <c r="G623" s="50">
        <v>0</v>
      </c>
    </row>
    <row r="624" spans="1:7" x14ac:dyDescent="0.25">
      <c r="A624" s="50">
        <v>2776</v>
      </c>
      <c r="B624" s="50" t="s">
        <v>49</v>
      </c>
      <c r="C624" s="50" t="s">
        <v>584</v>
      </c>
      <c r="D624" s="50" t="s">
        <v>62</v>
      </c>
      <c r="E624" s="50">
        <v>1</v>
      </c>
      <c r="F624" s="50">
        <v>3</v>
      </c>
      <c r="G624" s="50">
        <v>-2</v>
      </c>
    </row>
    <row r="625" spans="1:7" x14ac:dyDescent="0.25">
      <c r="A625" s="50">
        <v>2124</v>
      </c>
      <c r="B625" s="50" t="s">
        <v>44</v>
      </c>
      <c r="C625" s="50" t="s">
        <v>514</v>
      </c>
      <c r="D625" s="50" t="s">
        <v>483</v>
      </c>
      <c r="E625" s="50">
        <v>11</v>
      </c>
      <c r="F625" s="50">
        <v>8</v>
      </c>
      <c r="G625" s="50">
        <v>3</v>
      </c>
    </row>
    <row r="626" spans="1:7" x14ac:dyDescent="0.25">
      <c r="A626" s="50">
        <v>1952</v>
      </c>
      <c r="B626" s="50" t="s">
        <v>38</v>
      </c>
      <c r="C626" s="50" t="s">
        <v>309</v>
      </c>
      <c r="D626" s="50" t="s">
        <v>490</v>
      </c>
      <c r="E626" s="50">
        <v>7</v>
      </c>
      <c r="F626" s="50">
        <v>5</v>
      </c>
      <c r="G626" s="50">
        <v>2</v>
      </c>
    </row>
    <row r="627" spans="1:7" x14ac:dyDescent="0.25">
      <c r="A627" s="50">
        <v>2842</v>
      </c>
      <c r="B627" s="50" t="s">
        <v>49</v>
      </c>
      <c r="C627" s="50" t="s">
        <v>695</v>
      </c>
      <c r="D627" s="50" t="s">
        <v>59</v>
      </c>
      <c r="E627" s="50">
        <v>1</v>
      </c>
      <c r="F627" s="50">
        <v>1</v>
      </c>
      <c r="G627" s="50">
        <v>0</v>
      </c>
    </row>
    <row r="628" spans="1:7" x14ac:dyDescent="0.25">
      <c r="A628" s="50">
        <v>2766</v>
      </c>
      <c r="B628" s="50" t="s">
        <v>44</v>
      </c>
      <c r="C628" s="50" t="s">
        <v>628</v>
      </c>
      <c r="D628" s="50" t="s">
        <v>84</v>
      </c>
      <c r="E628" s="50">
        <v>9</v>
      </c>
      <c r="F628" s="50">
        <v>1</v>
      </c>
      <c r="G628" s="50">
        <v>8</v>
      </c>
    </row>
    <row r="629" spans="1:7" x14ac:dyDescent="0.25">
      <c r="A629" s="50">
        <v>365</v>
      </c>
      <c r="B629" s="50" t="s">
        <v>38</v>
      </c>
      <c r="C629" s="50" t="s">
        <v>161</v>
      </c>
      <c r="D629" s="50" t="s">
        <v>40</v>
      </c>
      <c r="E629" s="50">
        <v>5</v>
      </c>
      <c r="F629" s="50">
        <v>4</v>
      </c>
      <c r="G629" s="50">
        <v>1</v>
      </c>
    </row>
    <row r="630" spans="1:7" x14ac:dyDescent="0.25">
      <c r="A630" s="50">
        <v>608</v>
      </c>
      <c r="B630" s="50" t="s">
        <v>49</v>
      </c>
      <c r="C630" s="50" t="s">
        <v>238</v>
      </c>
      <c r="D630" s="50" t="s">
        <v>43</v>
      </c>
      <c r="E630" s="50">
        <v>31</v>
      </c>
      <c r="F630" s="50">
        <v>26</v>
      </c>
      <c r="G630" s="50">
        <v>5</v>
      </c>
    </row>
    <row r="631" spans="1:7" x14ac:dyDescent="0.25">
      <c r="A631" s="50">
        <v>315</v>
      </c>
      <c r="B631" s="50" t="s">
        <v>49</v>
      </c>
      <c r="C631" s="50" t="s">
        <v>470</v>
      </c>
      <c r="D631" s="50" t="s">
        <v>108</v>
      </c>
      <c r="E631" s="50">
        <v>16</v>
      </c>
      <c r="F631" s="50">
        <v>22</v>
      </c>
      <c r="G631" s="50">
        <v>-6</v>
      </c>
    </row>
    <row r="632" spans="1:7" x14ac:dyDescent="0.25">
      <c r="A632" s="50">
        <v>4323</v>
      </c>
      <c r="B632" s="50" t="s">
        <v>38</v>
      </c>
      <c r="C632" s="50" t="s">
        <v>679</v>
      </c>
      <c r="D632" s="50" t="s">
        <v>67</v>
      </c>
      <c r="E632" s="50">
        <v>2</v>
      </c>
      <c r="F632" s="50">
        <v>2</v>
      </c>
      <c r="G632" s="50">
        <v>0</v>
      </c>
    </row>
    <row r="633" spans="1:7" x14ac:dyDescent="0.25">
      <c r="A633" s="50">
        <v>2207</v>
      </c>
      <c r="B633" s="50" t="s">
        <v>49</v>
      </c>
      <c r="C633" s="50" t="s">
        <v>387</v>
      </c>
      <c r="D633" s="50" t="s">
        <v>37</v>
      </c>
      <c r="E633" s="50">
        <v>2</v>
      </c>
      <c r="F633" s="50">
        <v>2</v>
      </c>
      <c r="G633" s="50">
        <v>0</v>
      </c>
    </row>
    <row r="634" spans="1:7" x14ac:dyDescent="0.25">
      <c r="A634" s="50">
        <v>152</v>
      </c>
      <c r="B634" s="50" t="s">
        <v>44</v>
      </c>
      <c r="C634" s="50" t="s">
        <v>90</v>
      </c>
      <c r="D634" s="50" t="s">
        <v>62</v>
      </c>
      <c r="E634" s="50">
        <v>14</v>
      </c>
      <c r="F634" s="50">
        <v>14</v>
      </c>
      <c r="G634" s="50">
        <v>0</v>
      </c>
    </row>
    <row r="635" spans="1:7" x14ac:dyDescent="0.25">
      <c r="A635" s="50">
        <v>493</v>
      </c>
      <c r="B635" s="50" t="s">
        <v>38</v>
      </c>
      <c r="C635" s="50" t="s">
        <v>207</v>
      </c>
      <c r="D635" s="50" t="s">
        <v>59</v>
      </c>
      <c r="E635" s="50">
        <v>3</v>
      </c>
      <c r="F635" s="50">
        <v>5</v>
      </c>
      <c r="G635" s="50">
        <v>-2</v>
      </c>
    </row>
  </sheetData>
  <autoFilter ref="A1:G628" xr:uid="{9318C831-88A0-48A1-B935-5F502143999B}">
    <sortState xmlns:xlrd2="http://schemas.microsoft.com/office/spreadsheetml/2017/richdata2" ref="A2:G635">
      <sortCondition ref="C1:C628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I</vt:lpstr>
      <vt:lpstr>Ia</vt:lpstr>
      <vt:lpstr>II</vt:lpstr>
      <vt:lpstr>PLAYERS</vt:lpstr>
      <vt:lpstr>SVINCOLI</vt:lpstr>
      <vt:lpstr>II!Allenatore0</vt:lpstr>
      <vt:lpstr>II!Allenatore1</vt:lpstr>
      <vt:lpstr>Allenatore2</vt:lpstr>
      <vt:lpstr>Allenatore3</vt:lpstr>
      <vt:lpstr>Allenatore4</vt:lpstr>
      <vt:lpstr>Allenatore5</vt:lpstr>
      <vt:lpstr>Allenatore6</vt:lpstr>
      <vt:lpstr>Allenatore7</vt:lpstr>
      <vt:lpstr>Allenatore8</vt:lpstr>
      <vt:lpstr>Allenatore9</vt:lpstr>
      <vt:lpstr>II!FANTALLENATORI</vt:lpstr>
      <vt:lpstr>PLAYERS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Edoardo Galletti</dc:creator>
  <cp:lastModifiedBy>Edoardo Galletti</cp:lastModifiedBy>
  <cp:revision>9</cp:revision>
  <cp:lastPrinted>2018-08-18T01:38:38Z</cp:lastPrinted>
  <dcterms:created xsi:type="dcterms:W3CDTF">2009-04-16T11:32:48Z</dcterms:created>
  <dcterms:modified xsi:type="dcterms:W3CDTF">2019-02-28T18:32:23Z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